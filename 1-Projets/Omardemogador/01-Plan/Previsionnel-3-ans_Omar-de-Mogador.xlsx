
<file path=[Content_Types].xml><?xml version="1.0" encoding="utf-8"?>
<Types xmlns="http://schemas.openxmlformats.org/package/2006/content-types">
  <Default Extension="fntdata" ContentType="application/x-fontdata"/>
  <Default Extension="jpeg" ContentType="image/jpeg"/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styles.xml" ContentType="application/vnd.openxmlformats-officedocument.spreadsheetml.styl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4.xml" ContentType="application/vnd.openxmlformats-officedocument.spreadsheetml.worksheet+xml"/>
  <Override PartName="/xl/worksheets/sheet7.xml" ContentType="application/vnd.openxmlformats-officedocument.spreadsheetml.worksheet+xml"/>
  <Override PartName="/xl/worksheets/sheet3.xml" ContentType="application/vnd.openxmlformats-officedocument.spreadsheetml.worksheet+xml"/>
  <Override PartName="/xl/worksheets/sheet8.xml" ContentType="application/vnd.openxmlformats-officedocument.spreadsheetml.worksheet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4" Type="http://schemas.openxmlformats.org/officeDocument/2006/relationships/custom-properties" Target="docProps/custom.xml"/>
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>
  <fileVersion appName="Calc" lowestEdited="4"/>
  <workbookPr backupFile="false" showObjects="all" date1904="false"/>
  <workbookProtection/>
  <bookViews>
    <workbookView showHorizontalScroll="true" showVerticalScroll="true" showSheetTabs="true" xWindow="0" yWindow="0" windowWidth="16384" windowHeight="8192" tabRatio="500" firstSheet="0" activeTab="0"/>
  </bookViews>
  <sheets>
    <sheet name="Synthèse" sheetId="1" state="visible" r:id="rId3"/>
    <sheet name="Hypothèses" sheetId="2" state="visible" r:id="rId4"/>
    <sheet name="CR mensuel A1" sheetId="3" state="visible" r:id="rId5"/>
    <sheet name="CR 3 ans" sheetId="4" state="visible" r:id="rId6"/>
    <sheet name="Trésorerie" sheetId="5" state="visible" r:id="rId7"/>
    <sheet name="Plan de financement" sheetId="6" state="visible" r:id="rId8"/>
    <sheet name="Scénarios" sheetId="7" state="visible" r:id="rId9"/>
    <sheet name="Variante dropshipping" sheetId="8" state="visible" r:id="rId10"/>
  </sheets>
  <calcPr iterateCount="100" refMode="A1" iterate="false" iterateDelta="0.0001"/>
  <extLst>
    <ext xmlns:loext="http://schemas.libreoffice.org/" uri="{7626C862-2A13-11E5-B345-FEFF819CDC9F}">
      <loext:extCalcPr stringRefSyntax="ExcelA1"/>
    </ext>
  </extLst>
</workbook>
</file>

<file path=xl/sharedStrings.xml><?xml version="1.0" encoding="utf-8"?>
<sst xmlns="http://schemas.openxmlformats.org/spreadsheetml/2006/main" count="278" uniqueCount="205">
  <si>
    <t xml:space="preserve">OMAR DE MOGADOR</t>
  </si>
  <si>
    <t xml:space="preserve">Prévisionnel financier sur 3 ans — exercices juillet 2026 → juin 2029</t>
  </si>
  <si>
    <t xml:space="preserve">Dossier d'ouverture de compte professionnel</t>
  </si>
  <si>
    <t xml:space="preserve">Statut</t>
  </si>
  <si>
    <t xml:space="preserve">Micro-entreprise (auto-entrepreneur) — BIC, vente de marchandises</t>
  </si>
  <si>
    <t xml:space="preserve">Fondateur</t>
  </si>
  <si>
    <t xml:space="preserve">Omar Beuthner</t>
  </si>
  <si>
    <t xml:space="preserve">Siège</t>
  </si>
  <si>
    <t xml:space="preserve">La Rochelle (17), Nouvelle-Aquitaine — omardemogador.fr</t>
  </si>
  <si>
    <t xml:space="preserve">Démarrage d'activité</t>
  </si>
  <si>
    <t xml:space="preserve">Juillet 2026</t>
  </si>
  <si>
    <t xml:space="preserve">Activité</t>
  </si>
  <si>
    <t xml:space="preserve">E-commerce de cosmétiques &amp; bien-être orientaux premium</t>
  </si>
  <si>
    <t xml:space="preserve">Financement</t>
  </si>
  <si>
    <t xml:space="preserve">Apport personnel de 1 000 € — aucun emprunt sollicité</t>
  </si>
  <si>
    <t xml:space="preserve">Indicateur</t>
  </si>
  <si>
    <t xml:space="preserve">Année 1 (juil. 26 – juin 27)</t>
  </si>
  <si>
    <t xml:space="preserve">Année 2 (juil. 27 – juin 28)</t>
  </si>
  <si>
    <t xml:space="preserve">Année 3 (juil. 28 – juin 29)</t>
  </si>
  <si>
    <t xml:space="preserve">CA HT</t>
  </si>
  <si>
    <t xml:space="preserve">Marge brute</t>
  </si>
  <si>
    <t xml:space="preserve">Résultat net (revenu fondateur)</t>
  </si>
  <si>
    <t xml:space="preserve">Marge nette</t>
  </si>
  <si>
    <t xml:space="preserve">Trésorerie de clôture</t>
  </si>
  <si>
    <t xml:space="preserve">Points clés</t>
  </si>
  <si>
    <t xml:space="preserve">• Investissement initial de 1 000 €, intégralement autofinancé — aucun emprunt, aucun découvert.</t>
  </si>
  <si>
    <t xml:space="preserve">• Trésorerie positive dès le premier mois d'activité ; mise de départ reconstituée au 4e mois.</t>
  </si>
  <si>
    <t xml:space="preserve">• Structure de coûts minimale : site, SEO et création réalisés en interne (zéro charge fixe externe).</t>
  </si>
  <si>
    <t xml:space="preserve">• Franchise en base de TVA jusqu'à 85 000 € ; franchissement anticipé et provisionné en année 3.</t>
  </si>
  <si>
    <t xml:space="preserve">• Migration en société (SASU) envisagée à partir de ~70 000 € de CA — plafond micro : 203 100 €.</t>
  </si>
  <si>
    <t xml:space="preserve">• Variante dropshipping (feuille dédiée) : démarrage sans stock — investissement ramené à 250 €, point bas de trésorerie porté de 161 € à 821 €.</t>
  </si>
  <si>
    <t xml:space="preserve">Document établi le 11 juin 2026 sur la base du business plan v1.0 (juin 2026). Détail des calculs dans les feuilles suivantes.</t>
  </si>
  <si>
    <t xml:space="preserve">Hypothèses du modèle</t>
  </si>
  <si>
    <t xml:space="preserve">Source : businessplan_omar_de_mogador.pdf, v1.0, juin 2026 — paramètres modifiables (en bleu)</t>
  </si>
  <si>
    <t xml:space="preserve">Panier moyen (TTC = HT, franchise de TVA)</t>
  </si>
  <si>
    <t xml:space="preserve">par commande — BP §7.1</t>
  </si>
  <si>
    <t xml:space="preserve">Coût d'achat des marchandises — Année 1</t>
  </si>
  <si>
    <t xml:space="preserve">marge brute 70 % — BP §7.1</t>
  </si>
  <si>
    <t xml:space="preserve">Coût d'achat des marchandises — Année 2</t>
  </si>
  <si>
    <t xml:space="preserve">montée en marque blanche — BP §7.4</t>
  </si>
  <si>
    <t xml:space="preserve">Coût d'achat des marchandises — Année 3</t>
  </si>
  <si>
    <t xml:space="preserve">BP §7.4</t>
  </si>
  <si>
    <t xml:space="preserve">Cotisations sociales (micro-entreprise, vente BIC)</t>
  </si>
  <si>
    <t xml:space="preserve">% du CA encaissé — BP §7.1 (sans ACRE)</t>
  </si>
  <si>
    <t xml:space="preserve">Frais de port moyens</t>
  </si>
  <si>
    <t xml:space="preserve">Emballage</t>
  </si>
  <si>
    <t xml:space="preserve">CA HT cible — Année 2</t>
  </si>
  <si>
    <t xml:space="preserve">scénario de base — BP §7.4</t>
  </si>
  <si>
    <t xml:space="preserve">CA HT cible — Année 3</t>
  </si>
  <si>
    <t xml:space="preserve">Packaging &amp; expédition — Année 2</t>
  </si>
  <si>
    <t xml:space="preserve">Packaging &amp; expédition — Année 3</t>
  </si>
  <si>
    <t xml:space="preserve">Marketing &amp; publicité — Année 2</t>
  </si>
  <si>
    <t xml:space="preserve">Meta Ads dès M8 — BP §7.4</t>
  </si>
  <si>
    <t xml:space="preserve">Marketing &amp; publicité — Année 3</t>
  </si>
  <si>
    <t xml:space="preserve">Frais divers — Année 2</t>
  </si>
  <si>
    <t xml:space="preserve">abonnements, frais bancaires — BP §7.4</t>
  </si>
  <si>
    <t xml:space="preserve">Frais divers — Année 3</t>
  </si>
  <si>
    <t xml:space="preserve">Frais de gestion — franchissement du seuil de TVA (A3)</t>
  </si>
  <si>
    <t xml:space="preserve">comptabilité, bascule au régime réel — prudence</t>
  </si>
  <si>
    <t xml:space="preserve">Investissement initial (juillet 2026)</t>
  </si>
  <si>
    <t xml:space="preserve">Stock initial (~50 unités, 2-3 fournisseurs)</t>
  </si>
  <si>
    <t xml:space="preserve">BP §7.2</t>
  </si>
  <si>
    <t xml:space="preserve">Packaging premium de lancement (100 unités)</t>
  </si>
  <si>
    <t xml:space="preserve">Marketing de lancement (boosts ponctuels)</t>
  </si>
  <si>
    <t xml:space="preserve">Matériel divers (emballage, imprimante à étiquettes)</t>
  </si>
  <si>
    <t xml:space="preserve">Total investissement initial</t>
  </si>
  <si>
    <t xml:space="preserve">Apport personnel en numéraire</t>
  </si>
  <si>
    <t xml:space="preserve">fonds propres du fondateur</t>
  </si>
  <si>
    <t xml:space="preserve">Stocks</t>
  </si>
  <si>
    <t xml:space="preserve">Extension de stock (déc. 2026 — fêtes de fin d'année)</t>
  </si>
  <si>
    <t xml:space="preserve">stock final A1 ≈ 800 € — BP §7.5</t>
  </si>
  <si>
    <t xml:space="preserve">Accroissement de stock — Année 2</t>
  </si>
  <si>
    <t xml:space="preserve">MOQ marque blanche</t>
  </si>
  <si>
    <t xml:space="preserve">Accroissement de stock — Année 3</t>
  </si>
  <si>
    <t xml:space="preserve">élargissement de gamme</t>
  </si>
  <si>
    <t xml:space="preserve">Franchise en base de TVA jusqu'à 85 000 € de CA (seuil 2026) ; au-delà, facturation de la TVA — bascule probable en cours d'année 3.</t>
  </si>
  <si>
    <t xml:space="preserve">Taux de retour estimé à 2 % du CA (BP §7.1), absorbé par la prudence des hypothèses de volume.</t>
  </si>
  <si>
    <t xml:space="preserve">Compte de résultat mensuel — Année 1 (juillet 2026 → juin 2027)</t>
  </si>
  <si>
    <t xml:space="preserve">Montée en charge conforme au business plan §7.3 — scénario de base</t>
  </si>
  <si>
    <t xml:space="preserve">Mois</t>
  </si>
  <si>
    <t xml:space="preserve">Commandes</t>
  </si>
  <si>
    <t xml:space="preserve">Achats marchandises</t>
  </si>
  <si>
    <t xml:space="preserve">Packaging &amp; port</t>
  </si>
  <si>
    <t xml:space="preserve">Cotisations sociales</t>
  </si>
  <si>
    <t xml:space="preserve">Résultat net</t>
  </si>
  <si>
    <t xml:space="preserve">juil. 2026</t>
  </si>
  <si>
    <t xml:space="preserve">août 2026</t>
  </si>
  <si>
    <t xml:space="preserve">sept. 2026</t>
  </si>
  <si>
    <t xml:space="preserve">oct. 2026</t>
  </si>
  <si>
    <t xml:space="preserve">nov. 2026</t>
  </si>
  <si>
    <t xml:space="preserve">déc. 2026</t>
  </si>
  <si>
    <t xml:space="preserve">janv. 2027</t>
  </si>
  <si>
    <t xml:space="preserve">févr. 2027</t>
  </si>
  <si>
    <t xml:space="preserve">mars 2027</t>
  </si>
  <si>
    <t xml:space="preserve">avr. 2027</t>
  </si>
  <si>
    <t xml:space="preserve">mai 2027</t>
  </si>
  <si>
    <t xml:space="preserve">juin 2027</t>
  </si>
  <si>
    <t xml:space="preserve">TOTAL ANNÉE 1</t>
  </si>
  <si>
    <t xml:space="preserve">CA TTC = CA HT (franchise en base de TVA). Résultat net = revenu de l'exploitant avant impôt sur le revenu.</t>
  </si>
  <si>
    <t xml:space="preserve">Achats = 30 % du CA · packaging &amp; port = 7,00 € par commande · cotisations sociales = 12,3 % du CA.</t>
  </si>
  <si>
    <t xml:space="preserve">Compte de résultat prévisionnel — 3 exercices</t>
  </si>
  <si>
    <t xml:space="preserve">Source : businessplan_omar_de_mogador.pdf, v1.0, juin 2026 §7.4</t>
  </si>
  <si>
    <t xml:space="preserve">Poste</t>
  </si>
  <si>
    <t xml:space="preserve">Année 1 (juil. 2026 – juin 2027)</t>
  </si>
  <si>
    <t xml:space="preserve">Année 2 (juil. 2027 – juin 2028)</t>
  </si>
  <si>
    <t xml:space="preserve">Année 3 (juil. 2028 – juin 2029)</t>
  </si>
  <si>
    <t xml:space="preserve">Achats de marchandises</t>
  </si>
  <si>
    <t xml:space="preserve">Taux de marge brute</t>
  </si>
  <si>
    <t xml:space="preserve">Packaging &amp; expédition</t>
  </si>
  <si>
    <t xml:space="preserve">Marketing &amp; publicité</t>
  </si>
  <si>
    <t xml:space="preserve">Cotisations sociales (12,3 %)</t>
  </si>
  <si>
    <t xml:space="preserve">Frais divers (abonnements, frais bancaires)</t>
  </si>
  <si>
    <t xml:space="preserve">Frais de gestion (franchissement seuil TVA)</t>
  </si>
  <si>
    <t xml:space="preserve">Résultat net (revenu du fondateur)</t>
  </si>
  <si>
    <t xml:space="preserve">Aucun amortissement (immobilisations nulles — site auto-développé) ; aucune charge financière (aucun emprunt). Résultat avant impôt sur le revenu.</t>
  </si>
  <si>
    <t xml:space="preserve">Année 1 : montée en charge progressive (détail mensuel en feuille « CR mensuel A1 »).</t>
  </si>
  <si>
    <t xml:space="preserve">Plan de trésorerie — Année 1 (mensuel)</t>
  </si>
  <si>
    <t xml:space="preserve">Encaissements CB immédiats · cotisations réglées mensuellement · achats payés comptant (hypothèses prudentes)</t>
  </si>
  <si>
    <t xml:space="preserve">Apport personnel</t>
  </si>
  <si>
    <t xml:space="preserve">CA encaissé</t>
  </si>
  <si>
    <t xml:space="preserve">Investissement initial</t>
  </si>
  <si>
    <t xml:space="preserve">Flux du mois</t>
  </si>
  <si>
    <t xml:space="preserve">Trésorerie fin de mois</t>
  </si>
  <si>
    <t xml:space="preserve">Trésorerie minimale observée</t>
  </si>
  <si>
    <t xml:space="preserve">atteinte en juillet 2026 — la trésorerie reste positive chaque mois : aucun découvert ni emprunt nécessaire.</t>
  </si>
  <si>
    <t xml:space="preserve">Achats de décembre 2026 : réassort courant + 200 € d'extension de stock pour les fêtes (stock final ≈ 800 €).</t>
  </si>
  <si>
    <t xml:space="preserve">Trésorerie — Années 2 et 3 (annuel)</t>
  </si>
  <si>
    <t xml:space="preserve">Année 2</t>
  </si>
  <si>
    <t xml:space="preserve">Année 3</t>
  </si>
  <si>
    <t xml:space="preserve">Trésorerie d'ouverture</t>
  </si>
  <si>
    <t xml:space="preserve">+ Résultat net de l'exercice</t>
  </si>
  <si>
    <t xml:space="preserve">− Accroissement de stock</t>
  </si>
  <si>
    <t xml:space="preserve">− Prélèvements de l'exploitant (non modélisés)</t>
  </si>
  <si>
    <t xml:space="preserve">Trésorerie de clôture (avant prélèvements)</t>
  </si>
  <si>
    <t xml:space="preserve">Le résultat net constitue la rémunération de l'exploitant en micro-entreprise ; ses prélèvements personnels restent à sa discrétion et ne sont pas modélisés ici.</t>
  </si>
  <si>
    <t xml:space="preserve">Plan de financement initial — juillet 2026</t>
  </si>
  <si>
    <t xml:space="preserve">Source : businessplan_omar_de_mogador.pdf, v1.0, juin 2026 §7.2</t>
  </si>
  <si>
    <t xml:space="preserve">BESOINS</t>
  </si>
  <si>
    <t xml:space="preserve">Packaging premium de lancement</t>
  </si>
  <si>
    <t xml:space="preserve">Marketing de lancement</t>
  </si>
  <si>
    <t xml:space="preserve">Besoin en fonds de roulement de démarrage</t>
  </si>
  <si>
    <t xml:space="preserve">encaissements CB immédiats, aucune créance client, stocks payés sur l'apport</t>
  </si>
  <si>
    <t xml:space="preserve">Total des besoins</t>
  </si>
  <si>
    <t xml:space="preserve">RESSOURCES</t>
  </si>
  <si>
    <t xml:space="preserve">Emprunt bancaire</t>
  </si>
  <si>
    <t xml:space="preserve">Subventions / aides</t>
  </si>
  <si>
    <t xml:space="preserve">aides à la création en cours d'examen — non retenues par prudence</t>
  </si>
  <si>
    <t xml:space="preserve">Total des ressources</t>
  </si>
  <si>
    <t xml:space="preserve">Équilibre (ressources − besoins)</t>
  </si>
  <si>
    <t xml:space="preserve">Aucun financement externe n'est sollicité : l'objet du présent dossier est l'ouverture du compte professionnel.</t>
  </si>
  <si>
    <t xml:space="preserve">Scénarios de croissance</t>
  </si>
  <si>
    <t xml:space="preserve">Source : businessplan_omar_de_mogador.pdf, v1.0, juin 2026 §9.2</t>
  </si>
  <si>
    <t xml:space="preserve">Scénario</t>
  </si>
  <si>
    <t xml:space="preserve">CA Année 1</t>
  </si>
  <si>
    <t xml:space="preserve">CA Année 2</t>
  </si>
  <si>
    <t xml:space="preserve">CA Année 3</t>
  </si>
  <si>
    <t xml:space="preserve">Résultat Année 1</t>
  </si>
  <si>
    <t xml:space="preserve">Résultat Année 2</t>
  </si>
  <si>
    <t xml:space="preserve">Résultat Année 3</t>
  </si>
  <si>
    <t xml:space="preserve">Conservateur</t>
  </si>
  <si>
    <t xml:space="preserve">Base (retenu)</t>
  </si>
  <si>
    <t xml:space="preserve">Optimiste</t>
  </si>
  <si>
    <t xml:space="preserve">Conservateur : croissance lente, organique uniquement. Base : organique + marque blanche + Ads dès M8. Optimiste : viral social, B2B actif, marketplaces dès M6.</t>
  </si>
  <si>
    <t xml:space="preserve">Résultats des scénarios encadrants estimés par application de la marge nette du scénario de base à chaque exercice.</t>
  </si>
  <si>
    <t xml:space="preserve">Variante dropshipping — démarrage sans stock</t>
  </si>
  <si>
    <t xml:space="preserve">Trajectoire opérationnelle décidée le 10 juin 2026 (journal de décisions) — le modèle achat-revente des feuilles précédentes reste le scénario cible ; la présente variante en sécurise le démarrage.</t>
  </si>
  <si>
    <t xml:space="preserve">Hypothèses spécifiques (modifiables, en bleu)</t>
  </si>
  <si>
    <t xml:space="preserve">Coût d'achat dropshipping (1er cercle)</t>
  </si>
  <si>
    <t xml:space="preserve">marge brute 45 % — milieu de la fourchette 35–55 % (stratégie sourcing, 1er cercle)</t>
  </si>
  <si>
    <t xml:space="preserve">Frais de port fournisseur (expédition directe)</t>
  </si>
  <si>
    <t xml:space="preserve">par commande — emballage et expédition assurés par le fournisseur</t>
  </si>
  <si>
    <t xml:space="preserve">Investissement initial réduit</t>
  </si>
  <si>
    <t xml:space="preserve">marketing 100 € + matériel divers 150 € — ni stock (600 €) ni packaging (150 €)</t>
  </si>
  <si>
    <t xml:space="preserve">Part du CA en dropshipping — Année 2</t>
  </si>
  <si>
    <t xml:space="preserve">bascule progressive : références validées passées en achat-revente</t>
  </si>
  <si>
    <t xml:space="preserve">Part du CA en dropshipping — Année 3</t>
  </si>
  <si>
    <t xml:space="preserve">fond de gamme validé en stock, nouveautés testées en dropshipping</t>
  </si>
  <si>
    <t xml:space="preserve">Constitution du stock — entrée Année 2</t>
  </si>
  <si>
    <t xml:space="preserve">stock initial 600 € + MOQ marque blanche 700 €, différés de l'année 1</t>
  </si>
  <si>
    <t xml:space="preserve">identique au modèle de base</t>
  </si>
  <si>
    <t xml:space="preserve">Trésorerie mensuelle — Année 1 (dropshipping pur)</t>
  </si>
  <si>
    <t xml:space="preserve">Achats dropshipping</t>
  </si>
  <si>
    <t xml:space="preserve">Port fournisseur</t>
  </si>
  <si>
    <t xml:space="preserve">Point bas de trésorerie</t>
  </si>
  <si>
    <t xml:space="preserve">contre 161 € dans le modèle de base — l'apport de 1 000 € n'est jamais entamé de plus de 180 €</t>
  </si>
  <si>
    <t xml:space="preserve">Compte de résultat — 3 exercices (variante)</t>
  </si>
  <si>
    <t xml:space="preserve">Part du CA réalisée en dropshipping</t>
  </si>
  <si>
    <t xml:space="preserve">Achats de marchandises (mix dropshipping / stock)</t>
  </si>
  <si>
    <t xml:space="preserve">Packaging &amp; expédition (port fournisseur en année 1)</t>
  </si>
  <si>
    <t xml:space="preserve">Trésorerie de clôture (variante)</t>
  </si>
  <si>
    <t xml:space="preserve">Année 1</t>
  </si>
  <si>
    <t xml:space="preserve">La constitution du stock (1 300 €) est portée à l'entrée de l'année 2, une fois les références validées par la demande réelle. Prélèvements de l'exploitant non modélisés, comme dans le modèle de base.</t>
  </si>
  <si>
    <t xml:space="preserve">Comparatif — modèle de base vs variante dropshipping</t>
  </si>
  <si>
    <t xml:space="preserve">Modèle de base (achat-revente)</t>
  </si>
  <si>
    <t xml:space="preserve">Variante dropshipping</t>
  </si>
  <si>
    <t xml:space="preserve">Écart</t>
  </si>
  <si>
    <t xml:space="preserve">Point bas de trésorerie — Année 1</t>
  </si>
  <si>
    <t xml:space="preserve">Résultat net — Année 1</t>
  </si>
  <si>
    <t xml:space="preserve">Résultat net — Année 3</t>
  </si>
  <si>
    <t xml:space="preserve">Trésorerie de clôture — Année 3</t>
  </si>
  <si>
    <t xml:space="preserve">La variante échange du résultat (marge brute 45 % contre 70 % en année 1) contre une quasi-suppression du risque : aucun capital immobilisé, aucun invendu possible, besoin de financement ramené à 250 €. Les deux trajectoires convergent à mesure que les références validées passent en achat-revente.</t>
  </si>
  <si>
    <t xml:space="preserve">Déclencheur de bascule vers l'achat-revente (journal de décisions, 10 juin 2026)</t>
  </si>
  <si>
    <t xml:space="preserve">• 15 à 20 commandes par mois sur deux mois consécutifs, et</t>
  </si>
  <si>
    <t xml:space="preserve">• 3 à 5 références validées par la demande réelle en dropshipping.</t>
  </si>
  <si>
    <t xml:space="preserve">Cadre : micro-stock net 60 plafonné à 300–500 € d'encours — la ligne rouge n°4 (« pas d'achat de stock tant qu'on est en dropshipping ») reste en vigueur jusqu'au déclenchement.</t>
  </si>
</sst>
</file>

<file path=xl/styles.xml><?xml version="1.0" encoding="utf-8"?>
<styleSheet xmlns="http://schemas.openxmlformats.org/spreadsheetml/2006/main">
  <numFmts count="7">
    <numFmt numFmtId="164" formatCode="General"/>
    <numFmt numFmtId="165" formatCode="#,##0&quot; €&quot;;\(#,##0&quot; €)&quot;;\–"/>
    <numFmt numFmtId="166" formatCode="0.0%"/>
    <numFmt numFmtId="167" formatCode="#,##0.00&quot; €&quot;;\(#,##0.00&quot; €)&quot;;\–"/>
    <numFmt numFmtId="168" formatCode="#,##0;\(#,##0\);\–"/>
    <numFmt numFmtId="169" formatCode="0%"/>
    <numFmt numFmtId="170" formatCode="#,##0"/>
  </numFmts>
  <fonts count="17">
    <font>
      <sz val="11"/>
      <color theme="1"/>
      <name val="Calibri"/>
      <family val="2"/>
      <charset val="1"/>
    </font>
    <font>
      <sz val="10"/>
      <name val="Arial"/>
      <family val="0"/>
    </font>
    <font>
      <sz val="10"/>
      <name val="Arial"/>
      <family val="0"/>
    </font>
    <font>
      <sz val="10"/>
      <name val="Arial"/>
      <family val="0"/>
    </font>
    <font>
      <b val="true"/>
      <sz val="20"/>
      <color rgb="FF1E3A52"/>
      <name val="Arial"/>
      <family val="0"/>
      <charset val="1"/>
    </font>
    <font>
      <sz val="12"/>
      <color rgb="FF0F1F2E"/>
      <name val="Arial"/>
      <family val="0"/>
      <charset val="1"/>
    </font>
    <font>
      <i val="true"/>
      <sz val="10"/>
      <color rgb="FF6B7A82"/>
      <name val="Arial"/>
      <family val="0"/>
      <charset val="1"/>
    </font>
    <font>
      <b val="true"/>
      <sz val="10"/>
      <color rgb="FF0F1F2E"/>
      <name val="Arial"/>
      <family val="0"/>
      <charset val="1"/>
    </font>
    <font>
      <sz val="10"/>
      <color rgb="FF0F1F2E"/>
      <name val="Arial"/>
      <family val="0"/>
      <charset val="1"/>
    </font>
    <font>
      <b val="true"/>
      <sz val="10"/>
      <color rgb="FFFFFFFF"/>
      <name val="Arial"/>
      <family val="0"/>
      <charset val="1"/>
    </font>
    <font>
      <sz val="10"/>
      <color rgb="FF008000"/>
      <name val="Arial"/>
      <family val="0"/>
      <charset val="1"/>
    </font>
    <font>
      <b val="true"/>
      <sz val="12"/>
      <color rgb="FFB89B5E"/>
      <name val="Arial"/>
      <family val="0"/>
      <charset val="1"/>
    </font>
    <font>
      <i val="true"/>
      <sz val="9"/>
      <color rgb="FF6B7A82"/>
      <name val="Arial"/>
      <family val="0"/>
      <charset val="1"/>
    </font>
    <font>
      <b val="true"/>
      <sz val="16"/>
      <color rgb="FF1E3A52"/>
      <name val="Arial"/>
      <family val="0"/>
      <charset val="1"/>
    </font>
    <font>
      <sz val="10"/>
      <color rgb="FF0000FF"/>
      <name val="Arial"/>
      <family val="0"/>
      <charset val="1"/>
    </font>
    <font>
      <sz val="10"/>
      <color rgb="FF000000"/>
      <name val="Arial"/>
      <family val="0"/>
      <charset val="1"/>
    </font>
    <font>
      <b val="true"/>
      <sz val="10"/>
      <color rgb="FF1E3A52"/>
      <name val="Arial"/>
      <family val="0"/>
      <charset val="1"/>
    </font>
  </fonts>
  <fills count="4">
    <fill>
      <patternFill patternType="none"/>
    </fill>
    <fill>
      <patternFill patternType="gray125"/>
    </fill>
    <fill>
      <patternFill patternType="solid">
        <fgColor rgb="FF1E3A52"/>
        <bgColor rgb="FF003366"/>
      </patternFill>
    </fill>
    <fill>
      <patternFill patternType="solid">
        <fgColor rgb="FFF4ECE0"/>
        <bgColor rgb="FFFFFFFF"/>
      </patternFill>
    </fill>
  </fills>
  <borders count="3">
    <border diagonalUp="false" diagonalDown="false">
      <left/>
      <right/>
      <top/>
      <bottom/>
      <diagonal/>
    </border>
    <border diagonalUp="false" diagonalDown="false">
      <left style="thin">
        <color rgb="FF6B7A82"/>
      </left>
      <right style="thin">
        <color rgb="FF6B7A82"/>
      </right>
      <top style="thin">
        <color rgb="FF6B7A82"/>
      </top>
      <bottom style="thin">
        <color rgb="FF6B7A82"/>
      </bottom>
      <diagonal/>
    </border>
    <border diagonalUp="false" diagonalDown="false">
      <left/>
      <right/>
      <top style="thin">
        <color rgb="FF6B7A82"/>
      </top>
      <bottom/>
      <diagonal/>
    </border>
  </borders>
  <cellStyleXfs count="20">
    <xf numFmtId="164" fontId="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1" fillId="0" borderId="0" applyFont="true" applyBorder="false" applyAlignment="false" applyProtection="false"/>
    <xf numFmtId="0" fontId="1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43" fontId="1" fillId="0" borderId="0" applyFont="true" applyBorder="false" applyAlignment="false" applyProtection="false"/>
    <xf numFmtId="41" fontId="1" fillId="0" borderId="0" applyFont="true" applyBorder="false" applyAlignment="false" applyProtection="false"/>
    <xf numFmtId="44" fontId="1" fillId="0" borderId="0" applyFont="true" applyBorder="false" applyAlignment="false" applyProtection="false"/>
    <xf numFmtId="42" fontId="1" fillId="0" borderId="0" applyFont="true" applyBorder="false" applyAlignment="false" applyProtection="false"/>
    <xf numFmtId="9" fontId="1" fillId="0" borderId="0" applyFont="true" applyBorder="false" applyAlignment="false" applyProtection="false"/>
  </cellStyleXfs>
  <cellXfs count="48">
    <xf numFmtId="164" fontId="0" fillId="0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0" fillId="0" borderId="0" xfId="0" applyFont="false" applyBorder="false" applyAlignment="true" applyProtection="false">
      <alignment horizontal="general" vertical="bottom" textRotation="0" wrapText="false" indent="0" shrinkToFit="false"/>
      <protection locked="true" hidden="false"/>
    </xf>
    <xf numFmtId="164" fontId="4" fillId="0" borderId="0" xfId="0" applyFont="true" applyBorder="false" applyAlignment="true" applyProtection="false">
      <alignment horizontal="general" vertical="bottom" textRotation="0" wrapText="false" indent="0" shrinkToFit="false"/>
      <protection locked="true" hidden="false"/>
    </xf>
    <xf numFmtId="164" fontId="5" fillId="0" borderId="0" xfId="0" applyFont="true" applyBorder="false" applyAlignment="true" applyProtection="false">
      <alignment horizontal="general" vertical="bottom" textRotation="0" wrapText="false" indent="0" shrinkToFit="false"/>
      <protection locked="true" hidden="false"/>
    </xf>
    <xf numFmtId="164" fontId="6" fillId="0" borderId="0" xfId="0" applyFont="true" applyBorder="false" applyAlignment="true" applyProtection="false">
      <alignment horizontal="general" vertical="bottom" textRotation="0" wrapText="false" indent="0" shrinkToFit="false"/>
      <protection locked="true" hidden="false"/>
    </xf>
    <xf numFmtId="164" fontId="7" fillId="0" borderId="0" xfId="0" applyFont="true" applyBorder="false" applyAlignment="true" applyProtection="false">
      <alignment horizontal="general" vertical="bottom" textRotation="0" wrapText="false" indent="0" shrinkToFit="false"/>
      <protection locked="true" hidden="false"/>
    </xf>
    <xf numFmtId="164" fontId="8" fillId="0" borderId="0" xfId="0" applyFont="true" applyBorder="false" applyAlignment="true" applyProtection="false">
      <alignment horizontal="general" vertical="bottom" textRotation="0" wrapText="false" indent="0" shrinkToFit="false"/>
      <protection locked="true" hidden="false"/>
    </xf>
    <xf numFmtId="164" fontId="9" fillId="2" borderId="1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5" fontId="10" fillId="0" borderId="0" xfId="0" applyFont="true" applyBorder="false" applyAlignment="true" applyProtection="false">
      <alignment horizontal="right" vertical="bottom" textRotation="0" wrapText="false" indent="0" shrinkToFit="false"/>
      <protection locked="true" hidden="false"/>
    </xf>
    <xf numFmtId="165" fontId="7" fillId="3" borderId="0" xfId="0" applyFont="true" applyBorder="false" applyAlignment="true" applyProtection="false">
      <alignment horizontal="right" vertical="bottom" textRotation="0" wrapText="false" indent="0" shrinkToFit="false"/>
      <protection locked="true" hidden="false"/>
    </xf>
    <xf numFmtId="166" fontId="10" fillId="0" borderId="0" xfId="0" applyFont="true" applyBorder="false" applyAlignment="true" applyProtection="false">
      <alignment horizontal="right" vertical="bottom" textRotation="0" wrapText="false" indent="0" shrinkToFit="false"/>
      <protection locked="true" hidden="false"/>
    </xf>
    <xf numFmtId="164" fontId="11" fillId="0" borderId="0" xfId="0" applyFont="true" applyBorder="false" applyAlignment="true" applyProtection="false">
      <alignment horizontal="general" vertical="bottom" textRotation="0" wrapText="false" indent="0" shrinkToFit="false"/>
      <protection locked="true" hidden="false"/>
    </xf>
    <xf numFmtId="164" fontId="8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12" fillId="0" borderId="0" xfId="0" applyFont="true" applyBorder="false" applyAlignment="true" applyProtection="false">
      <alignment horizontal="general" vertical="bottom" textRotation="0" wrapText="false" indent="0" shrinkToFit="false"/>
      <protection locked="true" hidden="false"/>
    </xf>
    <xf numFmtId="164" fontId="13" fillId="0" borderId="0" xfId="0" applyFont="true" applyBorder="false" applyAlignment="true" applyProtection="false">
      <alignment horizontal="general" vertical="bottom" textRotation="0" wrapText="false" indent="0" shrinkToFit="false"/>
      <protection locked="true" hidden="false"/>
    </xf>
    <xf numFmtId="165" fontId="14" fillId="0" borderId="0" xfId="0" applyFont="true" applyBorder="false" applyAlignment="true" applyProtection="false">
      <alignment horizontal="general" vertical="bottom" textRotation="0" wrapText="false" indent="0" shrinkToFit="false"/>
      <protection locked="true" hidden="false"/>
    </xf>
    <xf numFmtId="166" fontId="14" fillId="0" borderId="0" xfId="0" applyFont="true" applyBorder="false" applyAlignment="true" applyProtection="false">
      <alignment horizontal="general" vertical="bottom" textRotation="0" wrapText="false" indent="0" shrinkToFit="false"/>
      <protection locked="true" hidden="false"/>
    </xf>
    <xf numFmtId="167" fontId="14" fillId="0" borderId="0" xfId="0" applyFont="true" applyBorder="false" applyAlignment="true" applyProtection="false">
      <alignment horizontal="general" vertical="bottom" textRotation="0" wrapText="false" indent="0" shrinkToFit="false"/>
      <protection locked="true" hidden="false"/>
    </xf>
    <xf numFmtId="164" fontId="7" fillId="0" borderId="2" xfId="0" applyFont="true" applyBorder="true" applyAlignment="true" applyProtection="false">
      <alignment horizontal="general" vertical="bottom" textRotation="0" wrapText="false" indent="0" shrinkToFit="false"/>
      <protection locked="true" hidden="false"/>
    </xf>
    <xf numFmtId="165" fontId="15" fillId="0" borderId="2" xfId="0" applyFont="true" applyBorder="true" applyAlignment="true" applyProtection="false">
      <alignment horizontal="general" vertical="bottom" textRotation="0" wrapText="false" indent="0" shrinkToFit="false"/>
      <protection locked="true" hidden="false"/>
    </xf>
    <xf numFmtId="168" fontId="14" fillId="0" borderId="0" xfId="0" applyFont="true" applyBorder="false" applyAlignment="true" applyProtection="false">
      <alignment horizontal="general" vertical="bottom" textRotation="0" wrapText="false" indent="0" shrinkToFit="false"/>
      <protection locked="true" hidden="false"/>
    </xf>
    <xf numFmtId="165" fontId="15" fillId="0" borderId="0" xfId="0" applyFont="true" applyBorder="false" applyAlignment="true" applyProtection="false">
      <alignment horizontal="general" vertical="bottom" textRotation="0" wrapText="false" indent="0" shrinkToFit="false"/>
      <protection locked="true" hidden="false"/>
    </xf>
    <xf numFmtId="164" fontId="7" fillId="3" borderId="2" xfId="0" applyFont="true" applyBorder="true" applyAlignment="true" applyProtection="false">
      <alignment horizontal="general" vertical="bottom" textRotation="0" wrapText="false" indent="0" shrinkToFit="false"/>
      <protection locked="true" hidden="false"/>
    </xf>
    <xf numFmtId="168" fontId="7" fillId="3" borderId="2" xfId="0" applyFont="true" applyBorder="true" applyAlignment="true" applyProtection="false">
      <alignment horizontal="general" vertical="bottom" textRotation="0" wrapText="false" indent="0" shrinkToFit="false"/>
      <protection locked="true" hidden="false"/>
    </xf>
    <xf numFmtId="165" fontId="7" fillId="3" borderId="2" xfId="0" applyFont="true" applyBorder="true" applyAlignment="true" applyProtection="false">
      <alignment horizontal="general" vertical="bottom" textRotation="0" wrapText="false" indent="0" shrinkToFit="false"/>
      <protection locked="true" hidden="false"/>
    </xf>
    <xf numFmtId="165" fontId="15" fillId="0" borderId="0" xfId="0" applyFont="true" applyBorder="false" applyAlignment="true" applyProtection="false">
      <alignment horizontal="right" vertical="bottom" textRotation="0" wrapText="false" indent="0" shrinkToFit="false"/>
      <protection locked="true" hidden="false"/>
    </xf>
    <xf numFmtId="165" fontId="7" fillId="3" borderId="2" xfId="0" applyFont="true" applyBorder="true" applyAlignment="true" applyProtection="false">
      <alignment horizontal="right" vertical="bottom" textRotation="0" wrapText="false" indent="0" shrinkToFit="false"/>
      <protection locked="true" hidden="false"/>
    </xf>
    <xf numFmtId="166" fontId="15" fillId="0" borderId="0" xfId="0" applyFont="true" applyBorder="false" applyAlignment="true" applyProtection="false">
      <alignment horizontal="right" vertical="bottom" textRotation="0" wrapText="false" indent="0" shrinkToFit="false"/>
      <protection locked="true" hidden="false"/>
    </xf>
    <xf numFmtId="165" fontId="10" fillId="0" borderId="0" xfId="0" applyFont="true" applyBorder="false" applyAlignment="true" applyProtection="false">
      <alignment horizontal="general" vertical="bottom" textRotation="0" wrapText="false" indent="0" shrinkToFit="false"/>
      <protection locked="true" hidden="false"/>
    </xf>
    <xf numFmtId="165" fontId="16" fillId="0" borderId="0" xfId="0" applyFont="true" applyBorder="false" applyAlignment="true" applyProtection="false">
      <alignment horizontal="general" vertical="bottom" textRotation="0" wrapText="false" indent="0" shrinkToFit="false"/>
      <protection locked="true" hidden="false"/>
    </xf>
    <xf numFmtId="164" fontId="7" fillId="3" borderId="0" xfId="0" applyFont="true" applyBorder="false" applyAlignment="true" applyProtection="false">
      <alignment horizontal="general" vertical="bottom" textRotation="0" wrapText="false" indent="0" shrinkToFit="false"/>
      <protection locked="true" hidden="false"/>
    </xf>
    <xf numFmtId="165" fontId="10" fillId="3" borderId="0" xfId="0" applyFont="true" applyBorder="false" applyAlignment="true" applyProtection="false">
      <alignment horizontal="general" vertical="bottom" textRotation="0" wrapText="false" indent="0" shrinkToFit="false"/>
      <protection locked="true" hidden="false"/>
    </xf>
    <xf numFmtId="164" fontId="13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6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11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6" fontId="14" fillId="0" borderId="0" xfId="0" applyFont="true" applyBorder="false" applyAlignment="true" applyProtection="false">
      <alignment horizontal="right" vertical="bottom" textRotation="0" wrapText="false" indent="0" shrinkToFit="false"/>
      <protection locked="true" hidden="false"/>
    </xf>
    <xf numFmtId="164" fontId="12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5" fontId="14" fillId="0" borderId="0" xfId="0" applyFont="true" applyBorder="false" applyAlignment="true" applyProtection="false">
      <alignment horizontal="right" vertical="bottom" textRotation="0" wrapText="false" indent="0" shrinkToFit="false"/>
      <protection locked="true" hidden="false"/>
    </xf>
    <xf numFmtId="169" fontId="14" fillId="0" borderId="0" xfId="0" applyFont="true" applyBorder="false" applyAlignment="true" applyProtection="false">
      <alignment horizontal="right" vertical="bottom" textRotation="0" wrapText="false" indent="0" shrinkToFit="false"/>
      <protection locked="true" hidden="false"/>
    </xf>
    <xf numFmtId="164" fontId="9" fillId="2" borderId="0" xfId="0" applyFont="true" applyBorder="false" applyAlignment="true" applyProtection="false">
      <alignment horizontal="center" vertical="bottom" textRotation="0" wrapText="true" indent="0" shrinkToFit="false"/>
      <protection locked="true" hidden="false"/>
    </xf>
    <xf numFmtId="170" fontId="10" fillId="0" borderId="0" xfId="0" applyFont="true" applyBorder="false" applyAlignment="true" applyProtection="false">
      <alignment horizontal="right" vertical="bottom" textRotation="0" wrapText="false" indent="0" shrinkToFit="false"/>
      <protection locked="true" hidden="false"/>
    </xf>
    <xf numFmtId="165" fontId="16" fillId="0" borderId="0" xfId="0" applyFont="true" applyBorder="false" applyAlignment="true" applyProtection="false">
      <alignment horizontal="right" vertical="bottom" textRotation="0" wrapText="false" indent="0" shrinkToFit="false"/>
      <protection locked="true" hidden="false"/>
    </xf>
    <xf numFmtId="164" fontId="7" fillId="3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70" fontId="7" fillId="3" borderId="0" xfId="0" applyFont="true" applyBorder="false" applyAlignment="true" applyProtection="false">
      <alignment horizontal="right" vertical="bottom" textRotation="0" wrapText="false" indent="0" shrinkToFit="false"/>
      <protection locked="true" hidden="false"/>
    </xf>
    <xf numFmtId="164" fontId="7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9" fontId="15" fillId="0" borderId="0" xfId="0" applyFont="true" applyBorder="false" applyAlignment="true" applyProtection="false">
      <alignment horizontal="right" vertical="bottom" textRotation="0" wrapText="false" indent="0" shrinkToFit="false"/>
      <protection locked="true" hidden="false"/>
    </xf>
    <xf numFmtId="165" fontId="7" fillId="0" borderId="0" xfId="0" applyFont="true" applyBorder="false" applyAlignment="true" applyProtection="false">
      <alignment horizontal="right" vertical="bottom" textRotation="0" wrapText="false" indent="0" shrinkToFit="false"/>
      <protection locked="true" hidden="false"/>
    </xf>
    <xf numFmtId="164" fontId="12" fillId="0" borderId="0" xfId="0" applyFont="true" applyBorder="true" applyAlignment="true" applyProtection="false">
      <alignment horizontal="general" vertical="top" textRotation="0" wrapText="true" indent="0" shrinkToFit="false"/>
      <protection locked="true" hidden="false"/>
    </xf>
  </cellXfs>
  <cellStyles count="6">
    <cellStyle name="Normal" xfId="0" builtinId="0"/>
    <cellStyle name="Comma" xfId="15" builtinId="3"/>
    <cellStyle name="Comma [0]" xfId="16" builtinId="6"/>
    <cellStyle name="Currency" xfId="17" builtinId="4"/>
    <cellStyle name="Currency [0]" xfId="18" builtinId="7"/>
    <cellStyle name="Percent" xfId="19" builtinId="5"/>
  </cellStyles>
  <colors>
    <indexedColors>
      <rgbColor rgb="FF000000"/>
      <rgbColor rgb="FFFFFFFF"/>
      <rgbColor rgb="FFFF0000"/>
      <rgbColor rgb="FF00FF00"/>
      <rgbColor rgb="FF0000FF"/>
      <rgbColor rgb="FFFFFF00"/>
      <rgbColor rgb="FFFF00FF"/>
      <rgbColor rgb="FF00FFFF"/>
      <rgbColor rgb="FF800000"/>
      <rgbColor rgb="FF008000"/>
      <rgbColor rgb="FF000080"/>
      <rgbColor rgb="FF808000"/>
      <rgbColor rgb="FF800080"/>
      <rgbColor rgb="FF008080"/>
      <rgbColor rgb="FFC0C0C0"/>
      <rgbColor rgb="FF6B7A82"/>
      <rgbColor rgb="FF9999FF"/>
      <rgbColor rgb="FF993366"/>
      <rgbColor rgb="FFF4ECE0"/>
      <rgbColor rgb="FFCCFFFF"/>
      <rgbColor rgb="FF660066"/>
      <rgbColor rgb="FFFF8080"/>
      <rgbColor rgb="FF0066CC"/>
      <rgbColor rgb="FFCCCCFF"/>
      <rgbColor rgb="FF000080"/>
      <rgbColor rgb="FFFF00FF"/>
      <rgbColor rgb="FFFFFF00"/>
      <rgbColor rgb="FF00FFFF"/>
      <rgbColor rgb="FF800080"/>
      <rgbColor rgb="FF800000"/>
      <rgbColor rgb="FF008080"/>
      <rgbColor rgb="FF0000FF"/>
      <rgbColor rgb="FF00CCFF"/>
      <rgbColor rgb="FFCCFFFF"/>
      <rgbColor rgb="FFCCFFCC"/>
      <rgbColor rgb="FFFFFF99"/>
      <rgbColor rgb="FF99CCFF"/>
      <rgbColor rgb="FFFF99CC"/>
      <rgbColor rgb="FFCC99FF"/>
      <rgbColor rgb="FFFFCC99"/>
      <rgbColor rgb="FF3366FF"/>
      <rgbColor rgb="FF33CCCC"/>
      <rgbColor rgb="FF99CC00"/>
      <rgbColor rgb="FFFFCC00"/>
      <rgbColor rgb="FFFF9900"/>
      <rgbColor rgb="FFFF6600"/>
      <rgbColor rgb="FF666699"/>
      <rgbColor rgb="FFB89B5E"/>
      <rgbColor rgb="FF003366"/>
      <rgbColor rgb="FF339966"/>
      <rgbColor rgb="FF0F1F2E"/>
      <rgbColor rgb="FF333300"/>
      <rgbColor rgb="FF993300"/>
      <rgbColor rgb="FF993366"/>
      <rgbColor rgb="FF333399"/>
      <rgbColor rgb="FF1E3A52"/>
    </indexedColors>
  </colors>
</styleSheet>
</file>

<file path=xl/_rels/workbook.xml.rels><?xml version="1.0" encoding="UTF-8"?>
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worksheet" Target="worksheets/sheet1.xml"/><Relationship Id="rId4" Type="http://schemas.openxmlformats.org/officeDocument/2006/relationships/worksheet" Target="worksheets/sheet2.xml"/><Relationship Id="rId5" Type="http://schemas.openxmlformats.org/officeDocument/2006/relationships/worksheet" Target="worksheets/sheet3.xml"/><Relationship Id="rId6" Type="http://schemas.openxmlformats.org/officeDocument/2006/relationships/worksheet" Target="worksheets/sheet4.xml"/><Relationship Id="rId7" Type="http://schemas.openxmlformats.org/officeDocument/2006/relationships/worksheet" Target="worksheets/sheet5.xml"/><Relationship Id="rId8" Type="http://schemas.openxmlformats.org/officeDocument/2006/relationships/worksheet" Target="worksheets/sheet6.xml"/><Relationship Id="rId9" Type="http://schemas.openxmlformats.org/officeDocument/2006/relationships/worksheet" Target="worksheets/sheet7.xml"/><Relationship Id="rId10" Type="http://schemas.openxmlformats.org/officeDocument/2006/relationships/worksheet" Target="worksheets/sheet8.xml"/><Relationship Id="rId11" Type="http://schemas.openxmlformats.org/officeDocument/2006/relationships/sharedStrings" Target="sharedStrings.xml"/>
</Relationships>
</file>

<file path=xl/theme/theme1.xml><?xml version="1.0" encoding="utf-8"?>
<a:theme xmlns:a="http://schemas.openxmlformats.org/drawingml/2006/main" xmlns:r="http://schemas.openxmlformats.org/officeDocument/2006/relationships" name="Office Theme">
  <a:themeElements>
    <a:clrScheme name="Office">
      <a:dk1>
        <a:srgbClr val="000000"/>
      </a:dk1>
      <a:lt1>
        <a:srgbClr val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itchFamily="0" charset="1"/>
        <a:ea typeface=""/>
        <a:cs typeface=""/>
      </a:majorFont>
      <a:minorFont>
        <a:latin typeface="Calibri" pitchFamily="0" charset="1"/>
        <a:ea typeface=""/>
        <a:cs typeface=""/>
      </a:minorFont>
    </a:fontScheme>
    <a:fmtScheme>
      <a:fillStyleLst>
        <a:solidFill>
          <a:schemeClr val="phClr"/>
        </a:solidFill>
        <a:gradFill>
          <a:gsLst>
            <a:gs pos="0">
              <a:schemeClr val="phClr">
                <a:tint val="50000"/>
              </a:schemeClr>
            </a:gs>
            <a:gs pos="35000">
              <a:schemeClr val="phClr">
                <a:tint val="37000"/>
              </a:schemeClr>
            </a:gs>
            <a:gs pos="100000">
              <a:schemeClr val="phClr">
                <a:tint val="15000"/>
              </a:schemeClr>
            </a:gs>
          </a:gsLst>
          <a:lin ang="16200000" scaled="1"/>
          <a:tileRect l="0" t="0" r="0" b="0"/>
        </a:gradFill>
        <a:gradFill>
          <a:gsLst>
            <a:gs pos="0">
              <a:schemeClr val="phClr">
                <a:shade val="51000"/>
              </a:schemeClr>
            </a:gs>
            <a:gs pos="80000">
              <a:schemeClr val="phClr">
                <a:shade val="93000"/>
              </a:schemeClr>
            </a:gs>
            <a:gs pos="100000">
              <a:schemeClr val="phClr">
                <a:shade val="94000"/>
              </a:schemeClr>
            </a:gs>
          </a:gsLst>
          <a:lin ang="16200000" scaled="0"/>
          <a:tileRect l="0" t="0" r="0" b="0"/>
        </a:gradFill>
      </a:fillStyleLst>
      <a:lnStyleLst>
        <a:ln w="9525" cap="flat" cmpd="sng" algn="ctr">
          <a:prstDash val="solid"/>
        </a:ln>
        <a:ln w="25400" cap="flat" cmpd="sng" algn="ctr">
          <a:prstDash val="solid"/>
        </a:ln>
        <a:ln w="38100" cap="flat" cmpd="sng" algn="ctr"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/>
        </a:effectStyle>
      </a:effectStyleLst>
      <a:bgFillStyleLst>
        <a:solidFill>
          <a:schemeClr val="phClr"/>
        </a:solidFill>
        <a:gradFill>
          <a:gsLst>
            <a:gs pos="0">
              <a:schemeClr val="phClr">
                <a:tint val="40000"/>
              </a:schemeClr>
            </a:gs>
            <a:gs pos="40000">
              <a:schemeClr val="phClr">
                <a:tint val="45000"/>
                <a:shade val="99000"/>
              </a:schemeClr>
            </a:gs>
            <a:gs pos="100000">
              <a:schemeClr val="phClr">
                <a:shade val="20000"/>
              </a:schemeClr>
            </a:gs>
          </a:gsLst>
          <a:path path="circle">
            <a:fillToRect l="50000" t="-80000" r="50000" b="180000"/>
          </a:path>
          <a:tileRect l="0" t="0" r="0" b="0"/>
        </a:gradFill>
        <a:gradFill>
          <a:gsLst>
            <a:gs pos="0">
              <a:schemeClr val="phClr">
                <a:tint val="80000"/>
              </a:schemeClr>
            </a:gs>
            <a:gs pos="100000">
              <a:schemeClr val="phClr">
                <a:shade val="30000"/>
              </a:schemeClr>
            </a:gs>
          </a:gsLst>
          <a:path path="circle">
            <a:fillToRect l="50000" t="50000" r="50000" b="50000"/>
          </a:path>
          <a:tileRect l="0" t="0" r="0" b="0"/>
        </a:gradFill>
      </a:bgFillStyleLst>
    </a:fmtScheme>
  </a:themeElements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true"/>
  </sheetPr>
  <dimension ref="A1:D27"/>
  <sheetViews>
    <sheetView showFormulas="false" showGridLines="true" showRowColHeaders="true" showZeros="true" rightToLeft="false" tabSelected="tru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8.6796875" defaultRowHeight="15" customHeight="false" zeroHeight="false" outlineLevelRow="0" outlineLevelCol="0"/>
  <cols>
    <col collapsed="false" customWidth="true" hidden="false" outlineLevel="0" max="1" min="1" style="1" width="34"/>
    <col collapsed="false" customWidth="true" hidden="false" outlineLevel="0" max="4" min="2" style="1" width="22"/>
  </cols>
  <sheetData>
    <row r="1" customFormat="false" ht="24" hidden="false" customHeight="true" outlineLevel="0" collapsed="false">
      <c r="A1" s="2" t="s">
        <v>0</v>
      </c>
    </row>
    <row r="2" customFormat="false" ht="15" hidden="false" customHeight="true" outlineLevel="0" collapsed="false">
      <c r="A2" s="3" t="s">
        <v>1</v>
      </c>
    </row>
    <row r="3" customFormat="false" ht="15" hidden="false" customHeight="true" outlineLevel="0" collapsed="false">
      <c r="A3" s="4" t="s">
        <v>2</v>
      </c>
    </row>
    <row r="5" customFormat="false" ht="15" hidden="false" customHeight="true" outlineLevel="0" collapsed="false">
      <c r="A5" s="5" t="s">
        <v>3</v>
      </c>
      <c r="B5" s="6" t="s">
        <v>4</v>
      </c>
    </row>
    <row r="6" customFormat="false" ht="15" hidden="false" customHeight="true" outlineLevel="0" collapsed="false">
      <c r="A6" s="5" t="s">
        <v>5</v>
      </c>
      <c r="B6" s="6" t="s">
        <v>6</v>
      </c>
    </row>
    <row r="7" customFormat="false" ht="15" hidden="false" customHeight="true" outlineLevel="0" collapsed="false">
      <c r="A7" s="5" t="s">
        <v>7</v>
      </c>
      <c r="B7" s="6" t="s">
        <v>8</v>
      </c>
    </row>
    <row r="8" customFormat="false" ht="15" hidden="false" customHeight="true" outlineLevel="0" collapsed="false">
      <c r="A8" s="5" t="s">
        <v>9</v>
      </c>
      <c r="B8" s="6" t="s">
        <v>10</v>
      </c>
    </row>
    <row r="9" customFormat="false" ht="15" hidden="false" customHeight="true" outlineLevel="0" collapsed="false">
      <c r="A9" s="5" t="s">
        <v>11</v>
      </c>
      <c r="B9" s="6" t="s">
        <v>12</v>
      </c>
    </row>
    <row r="10" customFormat="false" ht="15" hidden="false" customHeight="true" outlineLevel="0" collapsed="false">
      <c r="A10" s="5" t="s">
        <v>13</v>
      </c>
      <c r="B10" s="6" t="s">
        <v>14</v>
      </c>
    </row>
    <row r="12" customFormat="false" ht="23.25" hidden="false" customHeight="true" outlineLevel="0" collapsed="false">
      <c r="A12" s="7" t="s">
        <v>15</v>
      </c>
      <c r="B12" s="7" t="s">
        <v>16</v>
      </c>
      <c r="C12" s="7" t="s">
        <v>17</v>
      </c>
      <c r="D12" s="7" t="s">
        <v>18</v>
      </c>
    </row>
    <row r="13" customFormat="false" ht="15" hidden="false" customHeight="true" outlineLevel="0" collapsed="false">
      <c r="A13" s="6" t="s">
        <v>19</v>
      </c>
      <c r="B13" s="8" t="n">
        <f aca="false">'CR 3 ans'!B4</f>
        <v>22480</v>
      </c>
      <c r="C13" s="8" t="n">
        <f aca="false">'CR 3 ans'!C4</f>
        <v>55000</v>
      </c>
      <c r="D13" s="8" t="n">
        <f aca="false">'CR 3 ans'!D4</f>
        <v>95000</v>
      </c>
    </row>
    <row r="14" customFormat="false" ht="15" hidden="false" customHeight="true" outlineLevel="0" collapsed="false">
      <c r="A14" s="6" t="s">
        <v>20</v>
      </c>
      <c r="B14" s="8" t="n">
        <f aca="false">'CR 3 ans'!B6</f>
        <v>15736</v>
      </c>
      <c r="C14" s="8" t="n">
        <f aca="false">'CR 3 ans'!C6</f>
        <v>39600</v>
      </c>
      <c r="D14" s="8" t="n">
        <f aca="false">'CR 3 ans'!D6</f>
        <v>71250</v>
      </c>
    </row>
    <row r="15" customFormat="false" ht="15" hidden="false" customHeight="true" outlineLevel="0" collapsed="false">
      <c r="A15" s="5" t="s">
        <v>21</v>
      </c>
      <c r="B15" s="9" t="n">
        <f aca="false">'CR 3 ans'!B13</f>
        <v>9036.96</v>
      </c>
      <c r="C15" s="9" t="n">
        <f aca="false">'CR 3 ans'!C13</f>
        <v>21085</v>
      </c>
      <c r="D15" s="9" t="n">
        <f aca="false">'CR 3 ans'!D13</f>
        <v>38515</v>
      </c>
    </row>
    <row r="16" customFormat="false" ht="15" hidden="false" customHeight="true" outlineLevel="0" collapsed="false">
      <c r="A16" s="6" t="s">
        <v>22</v>
      </c>
      <c r="B16" s="10" t="n">
        <f aca="false">'CR 3 ans'!B14</f>
        <v>0.402</v>
      </c>
      <c r="C16" s="10" t="n">
        <f aca="false">'CR 3 ans'!C14</f>
        <v>0.383363636363636</v>
      </c>
      <c r="D16" s="10" t="n">
        <f aca="false">'CR 3 ans'!D14</f>
        <v>0.405421052631579</v>
      </c>
    </row>
    <row r="17" customFormat="false" ht="15" hidden="false" customHeight="true" outlineLevel="0" collapsed="false">
      <c r="A17" s="6" t="s">
        <v>23</v>
      </c>
      <c r="B17" s="8" t="n">
        <f aca="false">Trésorerie!I15</f>
        <v>8836.96</v>
      </c>
      <c r="C17" s="8" t="n">
        <f aca="false">Trésorerie!B28</f>
        <v>29221.96</v>
      </c>
      <c r="D17" s="8" t="n">
        <f aca="false">Trésorerie!C28</f>
        <v>66736.96</v>
      </c>
    </row>
    <row r="19" customFormat="false" ht="15" hidden="false" customHeight="true" outlineLevel="0" collapsed="false">
      <c r="A19" s="11" t="s">
        <v>24</v>
      </c>
    </row>
    <row r="20" customFormat="false" ht="15" hidden="false" customHeight="true" outlineLevel="0" collapsed="false">
      <c r="A20" s="6" t="s">
        <v>25</v>
      </c>
    </row>
    <row r="21" customFormat="false" ht="15" hidden="false" customHeight="true" outlineLevel="0" collapsed="false">
      <c r="A21" s="6" t="s">
        <v>26</v>
      </c>
    </row>
    <row r="22" customFormat="false" ht="15" hidden="false" customHeight="true" outlineLevel="0" collapsed="false">
      <c r="A22" s="6" t="s">
        <v>27</v>
      </c>
    </row>
    <row r="23" customFormat="false" ht="15" hidden="false" customHeight="true" outlineLevel="0" collapsed="false">
      <c r="A23" s="6" t="s">
        <v>28</v>
      </c>
    </row>
    <row r="24" customFormat="false" ht="15" hidden="false" customHeight="true" outlineLevel="0" collapsed="false">
      <c r="A24" s="6" t="s">
        <v>29</v>
      </c>
    </row>
    <row r="25" customFormat="false" ht="15" hidden="false" customHeight="false" outlineLevel="0" collapsed="false">
      <c r="A25" s="12" t="s">
        <v>30</v>
      </c>
    </row>
    <row r="26" customFormat="false" ht="15" hidden="false" customHeight="true" outlineLevel="0" collapsed="false"/>
    <row r="27" customFormat="false" ht="15" hidden="false" customHeight="false" outlineLevel="0" collapsed="false">
      <c r="A27" s="13" t="s">
        <v>31</v>
      </c>
    </row>
  </sheetData>
  <printOptions headings="false" gridLines="false" gridLinesSet="true" horizontalCentered="false" verticalCentered="false"/>
  <pageMargins left="0.75" right="0.75" top="1" bottom="1" header="0.511811023622047" footer="0.511811023622047"/>
  <pageSetup paperSize="1" scale="100" fitToWidth="1" fitToHeight="0" pageOrder="downThenOver" orientation="landscape" blackAndWhite="false" draft="false" cellComments="none" horizontalDpi="300" verticalDpi="300" copies="1"/>
  <headerFooter differentFirst="false" differentOddEven="false">
    <oddHeader/>
    <oddFooter/>
  </headerFooter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true"/>
  </sheetPr>
  <dimension ref="A1:C35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8.6796875" defaultRowHeight="15" customHeight="false" zeroHeight="false" outlineLevelRow="0" outlineLevelCol="0"/>
  <cols>
    <col collapsed="false" customWidth="true" hidden="false" outlineLevel="0" max="1" min="1" style="1" width="52"/>
    <col collapsed="false" customWidth="true" hidden="false" outlineLevel="0" max="2" min="2" style="1" width="14"/>
    <col collapsed="false" customWidth="true" hidden="false" outlineLevel="0" max="3" min="3" style="1" width="58"/>
  </cols>
  <sheetData>
    <row r="1" customFormat="false" ht="19.5" hidden="false" customHeight="true" outlineLevel="0" collapsed="false">
      <c r="A1" s="14" t="s">
        <v>32</v>
      </c>
    </row>
    <row r="2" customFormat="false" ht="15" hidden="false" customHeight="true" outlineLevel="0" collapsed="false">
      <c r="A2" s="4" t="s">
        <v>33</v>
      </c>
    </row>
    <row r="4" customFormat="false" ht="15" hidden="false" customHeight="true" outlineLevel="0" collapsed="false">
      <c r="A4" s="6" t="s">
        <v>34</v>
      </c>
      <c r="B4" s="15" t="n">
        <v>40</v>
      </c>
      <c r="C4" s="13" t="s">
        <v>35</v>
      </c>
    </row>
    <row r="5" customFormat="false" ht="15" hidden="false" customHeight="true" outlineLevel="0" collapsed="false">
      <c r="A5" s="6" t="s">
        <v>36</v>
      </c>
      <c r="B5" s="16" t="n">
        <v>0.3</v>
      </c>
      <c r="C5" s="13" t="s">
        <v>37</v>
      </c>
    </row>
    <row r="6" customFormat="false" ht="15" hidden="false" customHeight="true" outlineLevel="0" collapsed="false">
      <c r="A6" s="6" t="s">
        <v>38</v>
      </c>
      <c r="B6" s="16" t="n">
        <v>0.28</v>
      </c>
      <c r="C6" s="13" t="s">
        <v>39</v>
      </c>
    </row>
    <row r="7" customFormat="false" ht="15" hidden="false" customHeight="true" outlineLevel="0" collapsed="false">
      <c r="A7" s="6" t="s">
        <v>40</v>
      </c>
      <c r="B7" s="16" t="n">
        <v>0.25</v>
      </c>
      <c r="C7" s="13" t="s">
        <v>41</v>
      </c>
    </row>
    <row r="8" customFormat="false" ht="15" hidden="false" customHeight="true" outlineLevel="0" collapsed="false">
      <c r="A8" s="6" t="s">
        <v>42</v>
      </c>
      <c r="B8" s="16" t="n">
        <v>0.123</v>
      </c>
      <c r="C8" s="13" t="s">
        <v>43</v>
      </c>
    </row>
    <row r="9" customFormat="false" ht="15" hidden="false" customHeight="true" outlineLevel="0" collapsed="false">
      <c r="A9" s="6" t="s">
        <v>44</v>
      </c>
      <c r="B9" s="17" t="n">
        <v>5.5</v>
      </c>
      <c r="C9" s="13" t="s">
        <v>35</v>
      </c>
    </row>
    <row r="10" customFormat="false" ht="15" hidden="false" customHeight="true" outlineLevel="0" collapsed="false">
      <c r="A10" s="6" t="s">
        <v>45</v>
      </c>
      <c r="B10" s="17" t="n">
        <v>1.5</v>
      </c>
      <c r="C10" s="13" t="s">
        <v>35</v>
      </c>
    </row>
    <row r="11" customFormat="false" ht="15" hidden="false" customHeight="true" outlineLevel="0" collapsed="false">
      <c r="A11" s="6" t="s">
        <v>46</v>
      </c>
      <c r="B11" s="15" t="n">
        <v>55000</v>
      </c>
      <c r="C11" s="13" t="s">
        <v>47</v>
      </c>
    </row>
    <row r="12" customFormat="false" ht="15" hidden="false" customHeight="true" outlineLevel="0" collapsed="false">
      <c r="A12" s="6" t="s">
        <v>48</v>
      </c>
      <c r="B12" s="15" t="n">
        <v>95000</v>
      </c>
      <c r="C12" s="13" t="s">
        <v>47</v>
      </c>
    </row>
    <row r="13" customFormat="false" ht="15" hidden="false" customHeight="true" outlineLevel="0" collapsed="false">
      <c r="A13" s="6" t="s">
        <v>49</v>
      </c>
      <c r="B13" s="15" t="n">
        <v>8250</v>
      </c>
      <c r="C13" s="13" t="s">
        <v>41</v>
      </c>
    </row>
    <row r="14" customFormat="false" ht="15" hidden="false" customHeight="true" outlineLevel="0" collapsed="false">
      <c r="A14" s="6" t="s">
        <v>50</v>
      </c>
      <c r="B14" s="15" t="n">
        <v>13300</v>
      </c>
      <c r="C14" s="13" t="s">
        <v>41</v>
      </c>
    </row>
    <row r="15" customFormat="false" ht="15" hidden="false" customHeight="true" outlineLevel="0" collapsed="false">
      <c r="A15" s="6" t="s">
        <v>51</v>
      </c>
      <c r="B15" s="15" t="n">
        <v>3000</v>
      </c>
      <c r="C15" s="13" t="s">
        <v>52</v>
      </c>
    </row>
    <row r="16" customFormat="false" ht="15" hidden="false" customHeight="true" outlineLevel="0" collapsed="false">
      <c r="A16" s="6" t="s">
        <v>53</v>
      </c>
      <c r="B16" s="15" t="n">
        <v>6000</v>
      </c>
      <c r="C16" s="13" t="s">
        <v>41</v>
      </c>
    </row>
    <row r="17" customFormat="false" ht="15" hidden="false" customHeight="true" outlineLevel="0" collapsed="false">
      <c r="A17" s="6" t="s">
        <v>54</v>
      </c>
      <c r="B17" s="15" t="n">
        <v>500</v>
      </c>
      <c r="C17" s="13" t="s">
        <v>55</v>
      </c>
    </row>
    <row r="18" customFormat="false" ht="15" hidden="false" customHeight="true" outlineLevel="0" collapsed="false">
      <c r="A18" s="6" t="s">
        <v>56</v>
      </c>
      <c r="B18" s="15" t="n">
        <v>1000</v>
      </c>
      <c r="C18" s="13" t="s">
        <v>41</v>
      </c>
    </row>
    <row r="19" customFormat="false" ht="15" hidden="false" customHeight="true" outlineLevel="0" collapsed="false">
      <c r="A19" s="6" t="s">
        <v>57</v>
      </c>
      <c r="B19" s="15" t="n">
        <v>750</v>
      </c>
      <c r="C19" s="13" t="s">
        <v>58</v>
      </c>
    </row>
    <row r="21" customFormat="false" ht="15" hidden="false" customHeight="true" outlineLevel="0" collapsed="false">
      <c r="A21" s="11" t="s">
        <v>59</v>
      </c>
    </row>
    <row r="22" customFormat="false" ht="15" hidden="false" customHeight="true" outlineLevel="0" collapsed="false">
      <c r="A22" s="6" t="s">
        <v>60</v>
      </c>
      <c r="B22" s="15" t="n">
        <v>600</v>
      </c>
      <c r="C22" s="13" t="s">
        <v>61</v>
      </c>
    </row>
    <row r="23" customFormat="false" ht="15" hidden="false" customHeight="true" outlineLevel="0" collapsed="false">
      <c r="A23" s="6" t="s">
        <v>62</v>
      </c>
      <c r="B23" s="15" t="n">
        <v>150</v>
      </c>
      <c r="C23" s="13" t="s">
        <v>61</v>
      </c>
    </row>
    <row r="24" customFormat="false" ht="15" hidden="false" customHeight="true" outlineLevel="0" collapsed="false">
      <c r="A24" s="6" t="s">
        <v>63</v>
      </c>
      <c r="B24" s="15" t="n">
        <v>100</v>
      </c>
      <c r="C24" s="13" t="s">
        <v>61</v>
      </c>
    </row>
    <row r="25" customFormat="false" ht="15" hidden="false" customHeight="true" outlineLevel="0" collapsed="false">
      <c r="A25" s="6" t="s">
        <v>64</v>
      </c>
      <c r="B25" s="15" t="n">
        <v>150</v>
      </c>
      <c r="C25" s="13" t="s">
        <v>61</v>
      </c>
    </row>
    <row r="26" customFormat="false" ht="15" hidden="false" customHeight="true" outlineLevel="0" collapsed="false">
      <c r="A26" s="18" t="s">
        <v>65</v>
      </c>
      <c r="B26" s="19" t="n">
        <f aca="false">SUM(B22:B25)</f>
        <v>1000</v>
      </c>
    </row>
    <row r="27" customFormat="false" ht="15" hidden="false" customHeight="true" outlineLevel="0" collapsed="false">
      <c r="A27" s="6" t="s">
        <v>66</v>
      </c>
      <c r="B27" s="15" t="n">
        <v>1000</v>
      </c>
      <c r="C27" s="13" t="s">
        <v>67</v>
      </c>
    </row>
    <row r="29" customFormat="false" ht="15" hidden="false" customHeight="true" outlineLevel="0" collapsed="false">
      <c r="A29" s="11" t="s">
        <v>68</v>
      </c>
    </row>
    <row r="30" customFormat="false" ht="15" hidden="false" customHeight="true" outlineLevel="0" collapsed="false">
      <c r="A30" s="6" t="s">
        <v>69</v>
      </c>
      <c r="B30" s="15" t="n">
        <v>200</v>
      </c>
      <c r="C30" s="13" t="s">
        <v>70</v>
      </c>
    </row>
    <row r="31" customFormat="false" ht="15" hidden="false" customHeight="true" outlineLevel="0" collapsed="false">
      <c r="A31" s="6" t="s">
        <v>71</v>
      </c>
      <c r="B31" s="15" t="n">
        <v>700</v>
      </c>
      <c r="C31" s="13" t="s">
        <v>72</v>
      </c>
    </row>
    <row r="32" customFormat="false" ht="15" hidden="false" customHeight="true" outlineLevel="0" collapsed="false">
      <c r="A32" s="6" t="s">
        <v>73</v>
      </c>
      <c r="B32" s="15" t="n">
        <v>1000</v>
      </c>
      <c r="C32" s="13" t="s">
        <v>74</v>
      </c>
    </row>
    <row r="34" customFormat="false" ht="15" hidden="false" customHeight="true" outlineLevel="0" collapsed="false">
      <c r="A34" s="13" t="s">
        <v>75</v>
      </c>
    </row>
    <row r="35" customFormat="false" ht="15" hidden="false" customHeight="true" outlineLevel="0" collapsed="false">
      <c r="A35" s="13" t="s">
        <v>76</v>
      </c>
    </row>
  </sheetData>
  <printOptions headings="false" gridLines="false" gridLinesSet="true" horizontalCentered="false" verticalCentered="false"/>
  <pageMargins left="0.75" right="0.75" top="1" bottom="1" header="0.511811023622047" footer="0.511811023622047"/>
  <pageSetup paperSize="1" scale="100" fitToWidth="1" fitToHeight="0" pageOrder="downThenOver" orientation="landscape" blackAndWhite="false" draft="false" cellComments="none" horizontalDpi="300" verticalDpi="300" copies="1"/>
  <headerFooter differentFirst="false" differentOddEven="false">
    <oddHeader/>
    <oddFooter/>
  </headerFooter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true"/>
  </sheetPr>
  <dimension ref="A1:G19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pane xSplit="0" ySplit="3" topLeftCell="A4" activePane="bottomLeft" state="frozen"/>
      <selection pane="topLeft" activeCell="A1" activeCellId="0" sqref="A1"/>
      <selection pane="bottomLeft" activeCell="A1" activeCellId="0" sqref="A1"/>
    </sheetView>
  </sheetViews>
  <sheetFormatPr defaultColWidth="8.6796875" defaultRowHeight="15" customHeight="false" zeroHeight="false" outlineLevelRow="0" outlineLevelCol="0"/>
  <cols>
    <col collapsed="false" customWidth="true" hidden="false" outlineLevel="0" max="1" min="1" style="1" width="12"/>
    <col collapsed="false" customWidth="true" hidden="false" outlineLevel="0" max="2" min="2" style="1" width="11"/>
    <col collapsed="false" customWidth="true" hidden="false" outlineLevel="0" max="3" min="3" style="1" width="13"/>
    <col collapsed="false" customWidth="true" hidden="false" outlineLevel="0" max="4" min="4" style="1" width="18"/>
    <col collapsed="false" customWidth="true" hidden="false" outlineLevel="0" max="5" min="5" style="1" width="15"/>
    <col collapsed="false" customWidth="true" hidden="false" outlineLevel="0" max="6" min="6" style="1" width="17"/>
    <col collapsed="false" customWidth="true" hidden="false" outlineLevel="0" max="7" min="7" style="1" width="13"/>
  </cols>
  <sheetData>
    <row r="1" customFormat="false" ht="19.5" hidden="false" customHeight="true" outlineLevel="0" collapsed="false">
      <c r="A1" s="14" t="s">
        <v>77</v>
      </c>
    </row>
    <row r="2" customFormat="false" ht="15" hidden="false" customHeight="true" outlineLevel="0" collapsed="false">
      <c r="A2" s="4" t="s">
        <v>78</v>
      </c>
    </row>
    <row r="3" customFormat="false" ht="23.25" hidden="false" customHeight="true" outlineLevel="0" collapsed="false">
      <c r="A3" s="7" t="s">
        <v>79</v>
      </c>
      <c r="B3" s="7" t="s">
        <v>80</v>
      </c>
      <c r="C3" s="7" t="s">
        <v>19</v>
      </c>
      <c r="D3" s="7" t="s">
        <v>81</v>
      </c>
      <c r="E3" s="7" t="s">
        <v>82</v>
      </c>
      <c r="F3" s="7" t="s">
        <v>83</v>
      </c>
      <c r="G3" s="7" t="s">
        <v>84</v>
      </c>
    </row>
    <row r="4" customFormat="false" ht="15" hidden="false" customHeight="true" outlineLevel="0" collapsed="false">
      <c r="A4" s="6" t="s">
        <v>85</v>
      </c>
      <c r="B4" s="20" t="n">
        <v>10</v>
      </c>
      <c r="C4" s="21" t="n">
        <f aca="false">B4*Hypothèses!$B$4</f>
        <v>400</v>
      </c>
      <c r="D4" s="21" t="n">
        <f aca="false">C4*Hypothèses!$B$5</f>
        <v>120</v>
      </c>
      <c r="E4" s="21" t="n">
        <f aca="false">B4*(Hypothèses!$B$9+Hypothèses!$B$10)</f>
        <v>70</v>
      </c>
      <c r="F4" s="21" t="n">
        <f aca="false">C4*Hypothèses!$B$8</f>
        <v>49.2</v>
      </c>
      <c r="G4" s="21" t="n">
        <f aca="false">C4-D4-E4-F4</f>
        <v>160.8</v>
      </c>
    </row>
    <row r="5" customFormat="false" ht="15" hidden="false" customHeight="true" outlineLevel="0" collapsed="false">
      <c r="A5" s="6" t="s">
        <v>86</v>
      </c>
      <c r="B5" s="20" t="n">
        <v>15</v>
      </c>
      <c r="C5" s="21" t="n">
        <f aca="false">B5*Hypothèses!$B$4</f>
        <v>600</v>
      </c>
      <c r="D5" s="21" t="n">
        <f aca="false">C5*Hypothèses!$B$5</f>
        <v>180</v>
      </c>
      <c r="E5" s="21" t="n">
        <f aca="false">B5*(Hypothèses!$B$9+Hypothèses!$B$10)</f>
        <v>105</v>
      </c>
      <c r="F5" s="21" t="n">
        <f aca="false">C5*Hypothèses!$B$8</f>
        <v>73.8</v>
      </c>
      <c r="G5" s="21" t="n">
        <f aca="false">C5-D5-E5-F5</f>
        <v>241.2</v>
      </c>
    </row>
    <row r="6" customFormat="false" ht="15" hidden="false" customHeight="true" outlineLevel="0" collapsed="false">
      <c r="A6" s="6" t="s">
        <v>87</v>
      </c>
      <c r="B6" s="20" t="n">
        <v>20</v>
      </c>
      <c r="C6" s="21" t="n">
        <f aca="false">B6*Hypothèses!$B$4</f>
        <v>800</v>
      </c>
      <c r="D6" s="21" t="n">
        <f aca="false">C6*Hypothèses!$B$5</f>
        <v>240</v>
      </c>
      <c r="E6" s="21" t="n">
        <f aca="false">B6*(Hypothèses!$B$9+Hypothèses!$B$10)</f>
        <v>140</v>
      </c>
      <c r="F6" s="21" t="n">
        <f aca="false">C6*Hypothèses!$B$8</f>
        <v>98.4</v>
      </c>
      <c r="G6" s="21" t="n">
        <f aca="false">C6-D6-E6-F6</f>
        <v>321.6</v>
      </c>
    </row>
    <row r="7" customFormat="false" ht="15" hidden="false" customHeight="true" outlineLevel="0" collapsed="false">
      <c r="A7" s="6" t="s">
        <v>88</v>
      </c>
      <c r="B7" s="20" t="n">
        <v>30</v>
      </c>
      <c r="C7" s="21" t="n">
        <f aca="false">B7*Hypothèses!$B$4</f>
        <v>1200</v>
      </c>
      <c r="D7" s="21" t="n">
        <f aca="false">C7*Hypothèses!$B$5</f>
        <v>360</v>
      </c>
      <c r="E7" s="21" t="n">
        <f aca="false">B7*(Hypothèses!$B$9+Hypothèses!$B$10)</f>
        <v>210</v>
      </c>
      <c r="F7" s="21" t="n">
        <f aca="false">C7*Hypothèses!$B$8</f>
        <v>147.6</v>
      </c>
      <c r="G7" s="21" t="n">
        <f aca="false">C7-D7-E7-F7</f>
        <v>482.4</v>
      </c>
    </row>
    <row r="8" customFormat="false" ht="15" hidden="false" customHeight="true" outlineLevel="0" collapsed="false">
      <c r="A8" s="6" t="s">
        <v>89</v>
      </c>
      <c r="B8" s="20" t="n">
        <v>40</v>
      </c>
      <c r="C8" s="21" t="n">
        <f aca="false">B8*Hypothèses!$B$4</f>
        <v>1600</v>
      </c>
      <c r="D8" s="21" t="n">
        <f aca="false">C8*Hypothèses!$B$5</f>
        <v>480</v>
      </c>
      <c r="E8" s="21" t="n">
        <f aca="false">B8*(Hypothèses!$B$9+Hypothèses!$B$10)</f>
        <v>280</v>
      </c>
      <c r="F8" s="21" t="n">
        <f aca="false">C8*Hypothèses!$B$8</f>
        <v>196.8</v>
      </c>
      <c r="G8" s="21" t="n">
        <f aca="false">C8-D8-E8-F8</f>
        <v>643.2</v>
      </c>
    </row>
    <row r="9" customFormat="false" ht="15" hidden="false" customHeight="true" outlineLevel="0" collapsed="false">
      <c r="A9" s="6" t="s">
        <v>90</v>
      </c>
      <c r="B9" s="20" t="n">
        <v>50</v>
      </c>
      <c r="C9" s="21" t="n">
        <f aca="false">B9*Hypothèses!$B$4</f>
        <v>2000</v>
      </c>
      <c r="D9" s="21" t="n">
        <f aca="false">C9*Hypothèses!$B$5</f>
        <v>600</v>
      </c>
      <c r="E9" s="21" t="n">
        <f aca="false">B9*(Hypothèses!$B$9+Hypothèses!$B$10)</f>
        <v>350</v>
      </c>
      <c r="F9" s="21" t="n">
        <f aca="false">C9*Hypothèses!$B$8</f>
        <v>246</v>
      </c>
      <c r="G9" s="21" t="n">
        <f aca="false">C9-D9-E9-F9</f>
        <v>804</v>
      </c>
    </row>
    <row r="10" customFormat="false" ht="15" hidden="false" customHeight="true" outlineLevel="0" collapsed="false">
      <c r="A10" s="6" t="s">
        <v>91</v>
      </c>
      <c r="B10" s="20" t="n">
        <v>55</v>
      </c>
      <c r="C10" s="21" t="n">
        <f aca="false">B10*Hypothèses!$B$4</f>
        <v>2200</v>
      </c>
      <c r="D10" s="21" t="n">
        <f aca="false">C10*Hypothèses!$B$5</f>
        <v>660</v>
      </c>
      <c r="E10" s="21" t="n">
        <f aca="false">B10*(Hypothèses!$B$9+Hypothèses!$B$10)</f>
        <v>385</v>
      </c>
      <c r="F10" s="21" t="n">
        <f aca="false">C10*Hypothèses!$B$8</f>
        <v>270.6</v>
      </c>
      <c r="G10" s="21" t="n">
        <f aca="false">C10-D10-E10-F10</f>
        <v>884.4</v>
      </c>
    </row>
    <row r="11" customFormat="false" ht="15" hidden="false" customHeight="true" outlineLevel="0" collapsed="false">
      <c r="A11" s="6" t="s">
        <v>92</v>
      </c>
      <c r="B11" s="20" t="n">
        <v>60</v>
      </c>
      <c r="C11" s="21" t="n">
        <f aca="false">B11*Hypothèses!$B$4</f>
        <v>2400</v>
      </c>
      <c r="D11" s="21" t="n">
        <f aca="false">C11*Hypothèses!$B$5</f>
        <v>720</v>
      </c>
      <c r="E11" s="21" t="n">
        <f aca="false">B11*(Hypothèses!$B$9+Hypothèses!$B$10)</f>
        <v>420</v>
      </c>
      <c r="F11" s="21" t="n">
        <f aca="false">C11*Hypothèses!$B$8</f>
        <v>295.2</v>
      </c>
      <c r="G11" s="21" t="n">
        <f aca="false">C11-D11-E11-F11</f>
        <v>964.8</v>
      </c>
    </row>
    <row r="12" customFormat="false" ht="15" hidden="false" customHeight="true" outlineLevel="0" collapsed="false">
      <c r="A12" s="6" t="s">
        <v>93</v>
      </c>
      <c r="B12" s="20" t="n">
        <v>65</v>
      </c>
      <c r="C12" s="21" t="n">
        <f aca="false">B12*Hypothèses!$B$4</f>
        <v>2600</v>
      </c>
      <c r="D12" s="21" t="n">
        <f aca="false">C12*Hypothèses!$B$5</f>
        <v>780</v>
      </c>
      <c r="E12" s="21" t="n">
        <f aca="false">B12*(Hypothèses!$B$9+Hypothèses!$B$10)</f>
        <v>455</v>
      </c>
      <c r="F12" s="21" t="n">
        <f aca="false">C12*Hypothèses!$B$8</f>
        <v>319.8</v>
      </c>
      <c r="G12" s="21" t="n">
        <f aca="false">C12-D12-E12-F12</f>
        <v>1045.2</v>
      </c>
    </row>
    <row r="13" customFormat="false" ht="15" hidden="false" customHeight="true" outlineLevel="0" collapsed="false">
      <c r="A13" s="6" t="s">
        <v>94</v>
      </c>
      <c r="B13" s="20" t="n">
        <v>70</v>
      </c>
      <c r="C13" s="21" t="n">
        <f aca="false">B13*Hypothèses!$B$4</f>
        <v>2800</v>
      </c>
      <c r="D13" s="21" t="n">
        <f aca="false">C13*Hypothèses!$B$5</f>
        <v>840</v>
      </c>
      <c r="E13" s="21" t="n">
        <f aca="false">B13*(Hypothèses!$B$9+Hypothèses!$B$10)</f>
        <v>490</v>
      </c>
      <c r="F13" s="21" t="n">
        <f aca="false">C13*Hypothèses!$B$8</f>
        <v>344.4</v>
      </c>
      <c r="G13" s="21" t="n">
        <f aca="false">C13-D13-E13-F13</f>
        <v>1125.6</v>
      </c>
    </row>
    <row r="14" customFormat="false" ht="15" hidden="false" customHeight="true" outlineLevel="0" collapsed="false">
      <c r="A14" s="6" t="s">
        <v>95</v>
      </c>
      <c r="B14" s="20" t="n">
        <v>72</v>
      </c>
      <c r="C14" s="21" t="n">
        <f aca="false">B14*Hypothèses!$B$4</f>
        <v>2880</v>
      </c>
      <c r="D14" s="21" t="n">
        <f aca="false">C14*Hypothèses!$B$5</f>
        <v>864</v>
      </c>
      <c r="E14" s="21" t="n">
        <f aca="false">B14*(Hypothèses!$B$9+Hypothèses!$B$10)</f>
        <v>504</v>
      </c>
      <c r="F14" s="21" t="n">
        <f aca="false">C14*Hypothèses!$B$8</f>
        <v>354.24</v>
      </c>
      <c r="G14" s="21" t="n">
        <f aca="false">C14-D14-E14-F14</f>
        <v>1157.76</v>
      </c>
    </row>
    <row r="15" customFormat="false" ht="15" hidden="false" customHeight="true" outlineLevel="0" collapsed="false">
      <c r="A15" s="6" t="s">
        <v>96</v>
      </c>
      <c r="B15" s="20" t="n">
        <v>75</v>
      </c>
      <c r="C15" s="21" t="n">
        <f aca="false">B15*Hypothèses!$B$4</f>
        <v>3000</v>
      </c>
      <c r="D15" s="21" t="n">
        <f aca="false">C15*Hypothèses!$B$5</f>
        <v>900</v>
      </c>
      <c r="E15" s="21" t="n">
        <f aca="false">B15*(Hypothèses!$B$9+Hypothèses!$B$10)</f>
        <v>525</v>
      </c>
      <c r="F15" s="21" t="n">
        <f aca="false">C15*Hypothèses!$B$8</f>
        <v>369</v>
      </c>
      <c r="G15" s="21" t="n">
        <f aca="false">C15-D15-E15-F15</f>
        <v>1206</v>
      </c>
    </row>
    <row r="16" customFormat="false" ht="15" hidden="false" customHeight="true" outlineLevel="0" collapsed="false">
      <c r="A16" s="22" t="s">
        <v>97</v>
      </c>
      <c r="B16" s="23" t="n">
        <f aca="false">SUM(B4:B15)</f>
        <v>562</v>
      </c>
      <c r="C16" s="24" t="n">
        <f aca="false">SUM(C4:C15)</f>
        <v>22480</v>
      </c>
      <c r="D16" s="24" t="n">
        <f aca="false">SUM(D4:D15)</f>
        <v>6744</v>
      </c>
      <c r="E16" s="24" t="n">
        <f aca="false">SUM(E4:E15)</f>
        <v>3934</v>
      </c>
      <c r="F16" s="24" t="n">
        <f aca="false">SUM(F4:F15)</f>
        <v>2765.04</v>
      </c>
      <c r="G16" s="24" t="n">
        <f aca="false">SUM(G4:G15)</f>
        <v>9036.96</v>
      </c>
    </row>
    <row r="18" customFormat="false" ht="15" hidden="false" customHeight="true" outlineLevel="0" collapsed="false">
      <c r="A18" s="13" t="s">
        <v>98</v>
      </c>
    </row>
    <row r="19" customFormat="false" ht="15" hidden="false" customHeight="true" outlineLevel="0" collapsed="false">
      <c r="A19" s="13" t="s">
        <v>99</v>
      </c>
    </row>
  </sheetData>
  <printOptions headings="false" gridLines="false" gridLinesSet="true" horizontalCentered="false" verticalCentered="false"/>
  <pageMargins left="0.75" right="0.75" top="1" bottom="1" header="0.511811023622047" footer="0.511811023622047"/>
  <pageSetup paperSize="1" scale="100" fitToWidth="1" fitToHeight="0" pageOrder="downThenOver" orientation="landscape" blackAndWhite="false" draft="false" cellComments="none" horizontalDpi="300" verticalDpi="300" copies="1"/>
  <headerFooter differentFirst="false" differentOddEven="false">
    <oddHeader/>
    <oddFooter/>
  </headerFooter>
</worksheet>
</file>

<file path=xl/worksheets/sheet4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true"/>
  </sheetPr>
  <dimension ref="A1:D17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8.6796875" defaultRowHeight="15" customHeight="false" zeroHeight="false" outlineLevelRow="0" outlineLevelCol="0"/>
  <cols>
    <col collapsed="false" customWidth="true" hidden="false" outlineLevel="0" max="1" min="1" style="1" width="42"/>
    <col collapsed="false" customWidth="true" hidden="false" outlineLevel="0" max="4" min="2" style="1" width="24"/>
  </cols>
  <sheetData>
    <row r="1" customFormat="false" ht="19.5" hidden="false" customHeight="true" outlineLevel="0" collapsed="false">
      <c r="A1" s="14" t="s">
        <v>100</v>
      </c>
    </row>
    <row r="2" customFormat="false" ht="15" hidden="false" customHeight="true" outlineLevel="0" collapsed="false">
      <c r="A2" s="4" t="s">
        <v>101</v>
      </c>
    </row>
    <row r="3" customFormat="false" ht="23.25" hidden="false" customHeight="true" outlineLevel="0" collapsed="false">
      <c r="A3" s="7" t="s">
        <v>102</v>
      </c>
      <c r="B3" s="7" t="s">
        <v>103</v>
      </c>
      <c r="C3" s="7" t="s">
        <v>104</v>
      </c>
      <c r="D3" s="7" t="s">
        <v>105</v>
      </c>
    </row>
    <row r="4" customFormat="false" ht="15" hidden="false" customHeight="true" outlineLevel="0" collapsed="false">
      <c r="A4" s="6" t="s">
        <v>19</v>
      </c>
      <c r="B4" s="8" t="n">
        <f aca="false">'CR mensuel A1'!C16</f>
        <v>22480</v>
      </c>
      <c r="C4" s="8" t="n">
        <f aca="false">Hypothèses!B11</f>
        <v>55000</v>
      </c>
      <c r="D4" s="8" t="n">
        <f aca="false">Hypothèses!B12</f>
        <v>95000</v>
      </c>
    </row>
    <row r="5" customFormat="false" ht="15" hidden="false" customHeight="true" outlineLevel="0" collapsed="false">
      <c r="A5" s="6" t="s">
        <v>106</v>
      </c>
      <c r="B5" s="25" t="n">
        <f aca="false">B4*Hypothèses!$B$5</f>
        <v>6744</v>
      </c>
      <c r="C5" s="25" t="n">
        <f aca="false">C4*Hypothèses!$B$6</f>
        <v>15400</v>
      </c>
      <c r="D5" s="25" t="n">
        <f aca="false">D4*Hypothèses!$B$7</f>
        <v>23750</v>
      </c>
    </row>
    <row r="6" customFormat="false" ht="15" hidden="false" customHeight="true" outlineLevel="0" collapsed="false">
      <c r="A6" s="22" t="s">
        <v>20</v>
      </c>
      <c r="B6" s="26" t="n">
        <f aca="false">B4-B5</f>
        <v>15736</v>
      </c>
      <c r="C6" s="26" t="n">
        <f aca="false">C4-C5</f>
        <v>39600</v>
      </c>
      <c r="D6" s="26" t="n">
        <f aca="false">D4-D5</f>
        <v>71250</v>
      </c>
    </row>
    <row r="7" customFormat="false" ht="15" hidden="false" customHeight="true" outlineLevel="0" collapsed="false">
      <c r="A7" s="6" t="s">
        <v>107</v>
      </c>
      <c r="B7" s="27" t="n">
        <f aca="false">B6/B4</f>
        <v>0.7</v>
      </c>
      <c r="C7" s="27" t="n">
        <f aca="false">C6/C4</f>
        <v>0.72</v>
      </c>
      <c r="D7" s="27" t="n">
        <f aca="false">D6/D4</f>
        <v>0.75</v>
      </c>
    </row>
    <row r="8" customFormat="false" ht="15" hidden="false" customHeight="true" outlineLevel="0" collapsed="false">
      <c r="A8" s="6" t="s">
        <v>108</v>
      </c>
      <c r="B8" s="8" t="n">
        <f aca="false">'CR mensuel A1'!E16</f>
        <v>3934</v>
      </c>
      <c r="C8" s="8" t="n">
        <f aca="false">Hypothèses!B13</f>
        <v>8250</v>
      </c>
      <c r="D8" s="8" t="n">
        <f aca="false">Hypothèses!B14</f>
        <v>13300</v>
      </c>
    </row>
    <row r="9" customFormat="false" ht="15" hidden="false" customHeight="true" outlineLevel="0" collapsed="false">
      <c r="A9" s="6" t="s">
        <v>109</v>
      </c>
      <c r="B9" s="25" t="n">
        <v>0</v>
      </c>
      <c r="C9" s="25" t="n">
        <f aca="false">Hypothèses!B15</f>
        <v>3000</v>
      </c>
      <c r="D9" s="25" t="n">
        <f aca="false">Hypothèses!B16</f>
        <v>6000</v>
      </c>
    </row>
    <row r="10" customFormat="false" ht="15" hidden="false" customHeight="true" outlineLevel="0" collapsed="false">
      <c r="A10" s="6" t="s">
        <v>110</v>
      </c>
      <c r="B10" s="25" t="n">
        <f aca="false">B4*Hypothèses!$B$8</f>
        <v>2765.04</v>
      </c>
      <c r="C10" s="25" t="n">
        <f aca="false">C4*Hypothèses!$B$8</f>
        <v>6765</v>
      </c>
      <c r="D10" s="25" t="n">
        <f aca="false">D4*Hypothèses!$B$8</f>
        <v>11685</v>
      </c>
    </row>
    <row r="11" customFormat="false" ht="15" hidden="false" customHeight="true" outlineLevel="0" collapsed="false">
      <c r="A11" s="6" t="s">
        <v>111</v>
      </c>
      <c r="B11" s="25" t="n">
        <v>0</v>
      </c>
      <c r="C11" s="25" t="n">
        <f aca="false">Hypothèses!B17</f>
        <v>500</v>
      </c>
      <c r="D11" s="25" t="n">
        <f aca="false">Hypothèses!B18</f>
        <v>1000</v>
      </c>
    </row>
    <row r="12" customFormat="false" ht="15" hidden="false" customHeight="true" outlineLevel="0" collapsed="false">
      <c r="A12" s="6" t="s">
        <v>112</v>
      </c>
      <c r="B12" s="25" t="n">
        <v>0</v>
      </c>
      <c r="C12" s="25" t="n">
        <v>0</v>
      </c>
      <c r="D12" s="25" t="n">
        <f aca="false">Hypothèses!B19</f>
        <v>750</v>
      </c>
    </row>
    <row r="13" customFormat="false" ht="15" hidden="false" customHeight="true" outlineLevel="0" collapsed="false">
      <c r="A13" s="22" t="s">
        <v>113</v>
      </c>
      <c r="B13" s="26" t="n">
        <f aca="false">B6-B8-B9-B10-B11-B12</f>
        <v>9036.96</v>
      </c>
      <c r="C13" s="26" t="n">
        <f aca="false">C6-C8-C9-C10-C11-C12</f>
        <v>21085</v>
      </c>
      <c r="D13" s="26" t="n">
        <f aca="false">D6-D8-D9-D10-D11-D12</f>
        <v>38515</v>
      </c>
    </row>
    <row r="14" customFormat="false" ht="15" hidden="false" customHeight="true" outlineLevel="0" collapsed="false">
      <c r="A14" s="6" t="s">
        <v>22</v>
      </c>
      <c r="B14" s="27" t="n">
        <f aca="false">B13/B4</f>
        <v>0.402</v>
      </c>
      <c r="C14" s="27" t="n">
        <f aca="false">C13/C4</f>
        <v>0.383363636363636</v>
      </c>
      <c r="D14" s="27" t="n">
        <f aca="false">D13/D4</f>
        <v>0.405421052631579</v>
      </c>
    </row>
    <row r="16" customFormat="false" ht="15" hidden="false" customHeight="true" outlineLevel="0" collapsed="false">
      <c r="A16" s="13" t="s">
        <v>114</v>
      </c>
    </row>
    <row r="17" customFormat="false" ht="15" hidden="false" customHeight="true" outlineLevel="0" collapsed="false">
      <c r="A17" s="13" t="s">
        <v>115</v>
      </c>
    </row>
  </sheetData>
  <printOptions headings="false" gridLines="false" gridLinesSet="true" horizontalCentered="false" verticalCentered="false"/>
  <pageMargins left="0.75" right="0.75" top="1" bottom="1" header="0.511811023622047" footer="0.511811023622047"/>
  <pageSetup paperSize="1" scale="100" fitToWidth="1" fitToHeight="0" pageOrder="downThenOver" orientation="landscape" blackAndWhite="false" draft="false" cellComments="none" horizontalDpi="300" verticalDpi="300" copies="1"/>
  <headerFooter differentFirst="false" differentOddEven="false">
    <oddHeader/>
    <oddFooter/>
  </headerFooter>
</worksheet>
</file>

<file path=xl/worksheets/sheet5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true"/>
  </sheetPr>
  <dimension ref="A1:I30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pane xSplit="0" ySplit="3" topLeftCell="A4" activePane="bottomLeft" state="frozen"/>
      <selection pane="topLeft" activeCell="A1" activeCellId="0" sqref="A1"/>
      <selection pane="bottomLeft" activeCell="A1" activeCellId="0" sqref="A1"/>
    </sheetView>
  </sheetViews>
  <sheetFormatPr defaultColWidth="8.6796875" defaultRowHeight="15" customHeight="false" zeroHeight="false" outlineLevelRow="0" outlineLevelCol="0"/>
  <cols>
    <col collapsed="false" customWidth="true" hidden="false" outlineLevel="0" max="1" min="1" style="1" width="12"/>
    <col collapsed="false" customWidth="true" hidden="false" outlineLevel="0" max="2" min="2" style="1" width="14"/>
    <col collapsed="false" customWidth="true" hidden="false" outlineLevel="0" max="3" min="3" style="1" width="13"/>
    <col collapsed="false" customWidth="true" hidden="false" outlineLevel="0" max="5" min="4" style="1" width="17"/>
    <col collapsed="false" customWidth="true" hidden="false" outlineLevel="0" max="6" min="6" style="1" width="15"/>
    <col collapsed="false" customWidth="true" hidden="false" outlineLevel="0" max="7" min="7" style="1" width="16"/>
    <col collapsed="false" customWidth="true" hidden="false" outlineLevel="0" max="8" min="8" style="1" width="13"/>
    <col collapsed="false" customWidth="true" hidden="false" outlineLevel="0" max="9" min="9" style="1" width="16"/>
  </cols>
  <sheetData>
    <row r="1" customFormat="false" ht="19.5" hidden="false" customHeight="true" outlineLevel="0" collapsed="false">
      <c r="A1" s="14" t="s">
        <v>116</v>
      </c>
    </row>
    <row r="2" customFormat="false" ht="15" hidden="false" customHeight="true" outlineLevel="0" collapsed="false">
      <c r="A2" s="4" t="s">
        <v>117</v>
      </c>
    </row>
    <row r="3" customFormat="false" ht="23.25" hidden="false" customHeight="true" outlineLevel="0" collapsed="false">
      <c r="A3" s="7" t="s">
        <v>79</v>
      </c>
      <c r="B3" s="7" t="s">
        <v>118</v>
      </c>
      <c r="C3" s="7" t="s">
        <v>119</v>
      </c>
      <c r="D3" s="7" t="s">
        <v>120</v>
      </c>
      <c r="E3" s="7" t="s">
        <v>81</v>
      </c>
      <c r="F3" s="7" t="s">
        <v>82</v>
      </c>
      <c r="G3" s="7" t="s">
        <v>83</v>
      </c>
      <c r="H3" s="7" t="s">
        <v>121</v>
      </c>
      <c r="I3" s="7" t="s">
        <v>122</v>
      </c>
    </row>
    <row r="4" customFormat="false" ht="15" hidden="false" customHeight="true" outlineLevel="0" collapsed="false">
      <c r="A4" s="6" t="s">
        <v>85</v>
      </c>
      <c r="B4" s="28" t="n">
        <f aca="false">Hypothèses!B27</f>
        <v>1000</v>
      </c>
      <c r="C4" s="28" t="n">
        <f aca="false">'CR mensuel A1'!C4</f>
        <v>400</v>
      </c>
      <c r="D4" s="28" t="n">
        <f aca="false">Hypothèses!B26</f>
        <v>1000</v>
      </c>
      <c r="E4" s="28" t="n">
        <f aca="false">'CR mensuel A1'!D4</f>
        <v>120</v>
      </c>
      <c r="F4" s="28" t="n">
        <f aca="false">'CR mensuel A1'!E4</f>
        <v>70</v>
      </c>
      <c r="G4" s="28" t="n">
        <f aca="false">'CR mensuel A1'!F4</f>
        <v>49.2</v>
      </c>
      <c r="H4" s="21" t="n">
        <f aca="false">B4+C4-D4-E4-F4-G4</f>
        <v>160.8</v>
      </c>
      <c r="I4" s="29" t="n">
        <f aca="false">H4</f>
        <v>160.8</v>
      </c>
    </row>
    <row r="5" customFormat="false" ht="15" hidden="false" customHeight="true" outlineLevel="0" collapsed="false">
      <c r="A5" s="6" t="s">
        <v>86</v>
      </c>
      <c r="B5" s="21" t="n">
        <v>0</v>
      </c>
      <c r="C5" s="28" t="n">
        <f aca="false">'CR mensuel A1'!C5</f>
        <v>600</v>
      </c>
      <c r="D5" s="21" t="n">
        <v>0</v>
      </c>
      <c r="E5" s="28" t="n">
        <f aca="false">'CR mensuel A1'!D5</f>
        <v>180</v>
      </c>
      <c r="F5" s="28" t="n">
        <f aca="false">'CR mensuel A1'!E5</f>
        <v>105</v>
      </c>
      <c r="G5" s="28" t="n">
        <f aca="false">'CR mensuel A1'!F5</f>
        <v>73.8</v>
      </c>
      <c r="H5" s="21" t="n">
        <f aca="false">B5+C5-D5-E5-F5-G5</f>
        <v>241.2</v>
      </c>
      <c r="I5" s="29" t="n">
        <f aca="false">I4+H5</f>
        <v>402</v>
      </c>
    </row>
    <row r="6" customFormat="false" ht="15" hidden="false" customHeight="true" outlineLevel="0" collapsed="false">
      <c r="A6" s="6" t="s">
        <v>87</v>
      </c>
      <c r="B6" s="21" t="n">
        <v>0</v>
      </c>
      <c r="C6" s="28" t="n">
        <f aca="false">'CR mensuel A1'!C6</f>
        <v>800</v>
      </c>
      <c r="D6" s="21" t="n">
        <v>0</v>
      </c>
      <c r="E6" s="28" t="n">
        <f aca="false">'CR mensuel A1'!D6</f>
        <v>240</v>
      </c>
      <c r="F6" s="28" t="n">
        <f aca="false">'CR mensuel A1'!E6</f>
        <v>140</v>
      </c>
      <c r="G6" s="28" t="n">
        <f aca="false">'CR mensuel A1'!F6</f>
        <v>98.4</v>
      </c>
      <c r="H6" s="21" t="n">
        <f aca="false">B6+C6-D6-E6-F6-G6</f>
        <v>321.6</v>
      </c>
      <c r="I6" s="29" t="n">
        <f aca="false">I5+H6</f>
        <v>723.6</v>
      </c>
    </row>
    <row r="7" customFormat="false" ht="15" hidden="false" customHeight="true" outlineLevel="0" collapsed="false">
      <c r="A7" s="6" t="s">
        <v>88</v>
      </c>
      <c r="B7" s="21" t="n">
        <v>0</v>
      </c>
      <c r="C7" s="28" t="n">
        <f aca="false">'CR mensuel A1'!C7</f>
        <v>1200</v>
      </c>
      <c r="D7" s="21" t="n">
        <v>0</v>
      </c>
      <c r="E7" s="28" t="n">
        <f aca="false">'CR mensuel A1'!D7</f>
        <v>360</v>
      </c>
      <c r="F7" s="28" t="n">
        <f aca="false">'CR mensuel A1'!E7</f>
        <v>210</v>
      </c>
      <c r="G7" s="28" t="n">
        <f aca="false">'CR mensuel A1'!F7</f>
        <v>147.6</v>
      </c>
      <c r="H7" s="21" t="n">
        <f aca="false">B7+C7-D7-E7-F7-G7</f>
        <v>482.4</v>
      </c>
      <c r="I7" s="29" t="n">
        <f aca="false">I6+H7</f>
        <v>1206</v>
      </c>
    </row>
    <row r="8" customFormat="false" ht="15" hidden="false" customHeight="true" outlineLevel="0" collapsed="false">
      <c r="A8" s="6" t="s">
        <v>89</v>
      </c>
      <c r="B8" s="21" t="n">
        <v>0</v>
      </c>
      <c r="C8" s="28" t="n">
        <f aca="false">'CR mensuel A1'!C8</f>
        <v>1600</v>
      </c>
      <c r="D8" s="21" t="n">
        <v>0</v>
      </c>
      <c r="E8" s="28" t="n">
        <f aca="false">'CR mensuel A1'!D8</f>
        <v>480</v>
      </c>
      <c r="F8" s="28" t="n">
        <f aca="false">'CR mensuel A1'!E8</f>
        <v>280</v>
      </c>
      <c r="G8" s="28" t="n">
        <f aca="false">'CR mensuel A1'!F8</f>
        <v>196.8</v>
      </c>
      <c r="H8" s="21" t="n">
        <f aca="false">B8+C8-D8-E8-F8-G8</f>
        <v>643.2</v>
      </c>
      <c r="I8" s="29" t="n">
        <f aca="false">I7+H8</f>
        <v>1849.2</v>
      </c>
    </row>
    <row r="9" customFormat="false" ht="15" hidden="false" customHeight="true" outlineLevel="0" collapsed="false">
      <c r="A9" s="6" t="s">
        <v>90</v>
      </c>
      <c r="B9" s="21" t="n">
        <v>0</v>
      </c>
      <c r="C9" s="28" t="n">
        <f aca="false">'CR mensuel A1'!C9</f>
        <v>2000</v>
      </c>
      <c r="D9" s="21" t="n">
        <v>0</v>
      </c>
      <c r="E9" s="28" t="n">
        <f aca="false">'CR mensuel A1'!D9+Hypothèses!$B$30</f>
        <v>800</v>
      </c>
      <c r="F9" s="28" t="n">
        <f aca="false">'CR mensuel A1'!E9</f>
        <v>350</v>
      </c>
      <c r="G9" s="28" t="n">
        <f aca="false">'CR mensuel A1'!F9</f>
        <v>246</v>
      </c>
      <c r="H9" s="21" t="n">
        <f aca="false">B9+C9-D9-E9-F9-G9</f>
        <v>604</v>
      </c>
      <c r="I9" s="29" t="n">
        <f aca="false">I8+H9</f>
        <v>2453.2</v>
      </c>
    </row>
    <row r="10" customFormat="false" ht="15" hidden="false" customHeight="true" outlineLevel="0" collapsed="false">
      <c r="A10" s="6" t="s">
        <v>91</v>
      </c>
      <c r="B10" s="21" t="n">
        <v>0</v>
      </c>
      <c r="C10" s="28" t="n">
        <f aca="false">'CR mensuel A1'!C10</f>
        <v>2200</v>
      </c>
      <c r="D10" s="21" t="n">
        <v>0</v>
      </c>
      <c r="E10" s="28" t="n">
        <f aca="false">'CR mensuel A1'!D10</f>
        <v>660</v>
      </c>
      <c r="F10" s="28" t="n">
        <f aca="false">'CR mensuel A1'!E10</f>
        <v>385</v>
      </c>
      <c r="G10" s="28" t="n">
        <f aca="false">'CR mensuel A1'!F10</f>
        <v>270.6</v>
      </c>
      <c r="H10" s="21" t="n">
        <f aca="false">B10+C10-D10-E10-F10-G10</f>
        <v>884.4</v>
      </c>
      <c r="I10" s="29" t="n">
        <f aca="false">I9+H10</f>
        <v>3337.6</v>
      </c>
    </row>
    <row r="11" customFormat="false" ht="15" hidden="false" customHeight="true" outlineLevel="0" collapsed="false">
      <c r="A11" s="6" t="s">
        <v>92</v>
      </c>
      <c r="B11" s="21" t="n">
        <v>0</v>
      </c>
      <c r="C11" s="28" t="n">
        <f aca="false">'CR mensuel A1'!C11</f>
        <v>2400</v>
      </c>
      <c r="D11" s="21" t="n">
        <v>0</v>
      </c>
      <c r="E11" s="28" t="n">
        <f aca="false">'CR mensuel A1'!D11</f>
        <v>720</v>
      </c>
      <c r="F11" s="28" t="n">
        <f aca="false">'CR mensuel A1'!E11</f>
        <v>420</v>
      </c>
      <c r="G11" s="28" t="n">
        <f aca="false">'CR mensuel A1'!F11</f>
        <v>295.2</v>
      </c>
      <c r="H11" s="21" t="n">
        <f aca="false">B11+C11-D11-E11-F11-G11</f>
        <v>964.8</v>
      </c>
      <c r="I11" s="29" t="n">
        <f aca="false">I10+H11</f>
        <v>4302.4</v>
      </c>
    </row>
    <row r="12" customFormat="false" ht="15" hidden="false" customHeight="true" outlineLevel="0" collapsed="false">
      <c r="A12" s="6" t="s">
        <v>93</v>
      </c>
      <c r="B12" s="21" t="n">
        <v>0</v>
      </c>
      <c r="C12" s="28" t="n">
        <f aca="false">'CR mensuel A1'!C12</f>
        <v>2600</v>
      </c>
      <c r="D12" s="21" t="n">
        <v>0</v>
      </c>
      <c r="E12" s="28" t="n">
        <f aca="false">'CR mensuel A1'!D12</f>
        <v>780</v>
      </c>
      <c r="F12" s="28" t="n">
        <f aca="false">'CR mensuel A1'!E12</f>
        <v>455</v>
      </c>
      <c r="G12" s="28" t="n">
        <f aca="false">'CR mensuel A1'!F12</f>
        <v>319.8</v>
      </c>
      <c r="H12" s="21" t="n">
        <f aca="false">B12+C12-D12-E12-F12-G12</f>
        <v>1045.2</v>
      </c>
      <c r="I12" s="29" t="n">
        <f aca="false">I11+H12</f>
        <v>5347.6</v>
      </c>
    </row>
    <row r="13" customFormat="false" ht="15" hidden="false" customHeight="true" outlineLevel="0" collapsed="false">
      <c r="A13" s="6" t="s">
        <v>94</v>
      </c>
      <c r="B13" s="21" t="n">
        <v>0</v>
      </c>
      <c r="C13" s="28" t="n">
        <f aca="false">'CR mensuel A1'!C13</f>
        <v>2800</v>
      </c>
      <c r="D13" s="21" t="n">
        <v>0</v>
      </c>
      <c r="E13" s="28" t="n">
        <f aca="false">'CR mensuel A1'!D13</f>
        <v>840</v>
      </c>
      <c r="F13" s="28" t="n">
        <f aca="false">'CR mensuel A1'!E13</f>
        <v>490</v>
      </c>
      <c r="G13" s="28" t="n">
        <f aca="false">'CR mensuel A1'!F13</f>
        <v>344.4</v>
      </c>
      <c r="H13" s="21" t="n">
        <f aca="false">B13+C13-D13-E13-F13-G13</f>
        <v>1125.6</v>
      </c>
      <c r="I13" s="29" t="n">
        <f aca="false">I12+H13</f>
        <v>6473.2</v>
      </c>
    </row>
    <row r="14" customFormat="false" ht="15" hidden="false" customHeight="true" outlineLevel="0" collapsed="false">
      <c r="A14" s="6" t="s">
        <v>95</v>
      </c>
      <c r="B14" s="21" t="n">
        <v>0</v>
      </c>
      <c r="C14" s="28" t="n">
        <f aca="false">'CR mensuel A1'!C14</f>
        <v>2880</v>
      </c>
      <c r="D14" s="21" t="n">
        <v>0</v>
      </c>
      <c r="E14" s="28" t="n">
        <f aca="false">'CR mensuel A1'!D14</f>
        <v>864</v>
      </c>
      <c r="F14" s="28" t="n">
        <f aca="false">'CR mensuel A1'!E14</f>
        <v>504</v>
      </c>
      <c r="G14" s="28" t="n">
        <f aca="false">'CR mensuel A1'!F14</f>
        <v>354.24</v>
      </c>
      <c r="H14" s="21" t="n">
        <f aca="false">B14+C14-D14-E14-F14-G14</f>
        <v>1157.76</v>
      </c>
      <c r="I14" s="29" t="n">
        <f aca="false">I13+H14</f>
        <v>7630.96</v>
      </c>
    </row>
    <row r="15" customFormat="false" ht="15" hidden="false" customHeight="true" outlineLevel="0" collapsed="false">
      <c r="A15" s="6" t="s">
        <v>96</v>
      </c>
      <c r="B15" s="21" t="n">
        <v>0</v>
      </c>
      <c r="C15" s="28" t="n">
        <f aca="false">'CR mensuel A1'!C15</f>
        <v>3000</v>
      </c>
      <c r="D15" s="21" t="n">
        <v>0</v>
      </c>
      <c r="E15" s="28" t="n">
        <f aca="false">'CR mensuel A1'!D15</f>
        <v>900</v>
      </c>
      <c r="F15" s="28" t="n">
        <f aca="false">'CR mensuel A1'!E15</f>
        <v>525</v>
      </c>
      <c r="G15" s="28" t="n">
        <f aca="false">'CR mensuel A1'!F15</f>
        <v>369</v>
      </c>
      <c r="H15" s="21" t="n">
        <f aca="false">B15+C15-D15-E15-F15-G15</f>
        <v>1206</v>
      </c>
      <c r="I15" s="29" t="n">
        <f aca="false">I14+H15</f>
        <v>8836.96</v>
      </c>
    </row>
    <row r="16" customFormat="false" ht="15" hidden="false" customHeight="true" outlineLevel="0" collapsed="false">
      <c r="A16" s="22" t="s">
        <v>97</v>
      </c>
      <c r="B16" s="24" t="n">
        <f aca="false">SUM(B4:B15)</f>
        <v>1000</v>
      </c>
      <c r="C16" s="24" t="n">
        <f aca="false">SUM(C4:C15)</f>
        <v>22480</v>
      </c>
      <c r="D16" s="24" t="n">
        <f aca="false">SUM(D4:D15)</f>
        <v>1000</v>
      </c>
      <c r="E16" s="24" t="n">
        <f aca="false">SUM(E4:E15)</f>
        <v>6944</v>
      </c>
      <c r="F16" s="24" t="n">
        <f aca="false">SUM(F4:F15)</f>
        <v>3934</v>
      </c>
      <c r="G16" s="24" t="n">
        <f aca="false">SUM(G4:G15)</f>
        <v>2765.04</v>
      </c>
      <c r="H16" s="24" t="n">
        <f aca="false">SUM(H4:H15)</f>
        <v>8836.96</v>
      </c>
      <c r="I16" s="24" t="n">
        <f aca="false">I15</f>
        <v>8836.96</v>
      </c>
    </row>
    <row r="18" customFormat="false" ht="15" hidden="false" customHeight="true" outlineLevel="0" collapsed="false">
      <c r="A18" s="5" t="s">
        <v>123</v>
      </c>
      <c r="B18" s="21" t="n">
        <f aca="false">MIN(I4:I15)</f>
        <v>160.8</v>
      </c>
      <c r="C18" s="13" t="s">
        <v>124</v>
      </c>
    </row>
    <row r="19" customFormat="false" ht="15" hidden="false" customHeight="true" outlineLevel="0" collapsed="false">
      <c r="A19" s="13" t="s">
        <v>125</v>
      </c>
    </row>
    <row r="22" customFormat="false" ht="15" hidden="false" customHeight="true" outlineLevel="0" collapsed="false">
      <c r="A22" s="11" t="s">
        <v>126</v>
      </c>
    </row>
    <row r="23" customFormat="false" ht="15" hidden="false" customHeight="true" outlineLevel="0" collapsed="false">
      <c r="A23" s="7" t="s">
        <v>102</v>
      </c>
      <c r="B23" s="7" t="s">
        <v>127</v>
      </c>
      <c r="C23" s="7" t="s">
        <v>128</v>
      </c>
    </row>
    <row r="24" customFormat="false" ht="15" hidden="false" customHeight="true" outlineLevel="0" collapsed="false">
      <c r="A24" s="6" t="s">
        <v>129</v>
      </c>
      <c r="B24" s="8" t="n">
        <f aca="false">I15</f>
        <v>8836.96</v>
      </c>
      <c r="C24" s="8" t="n">
        <f aca="false">B28</f>
        <v>29221.96</v>
      </c>
    </row>
    <row r="25" customFormat="false" ht="15" hidden="false" customHeight="true" outlineLevel="0" collapsed="false">
      <c r="A25" s="6" t="s">
        <v>130</v>
      </c>
      <c r="B25" s="8" t="n">
        <f aca="false">'CR 3 ans'!C13</f>
        <v>21085</v>
      </c>
      <c r="C25" s="8" t="n">
        <f aca="false">'CR 3 ans'!D13</f>
        <v>38515</v>
      </c>
    </row>
    <row r="26" customFormat="false" ht="15" hidden="false" customHeight="true" outlineLevel="0" collapsed="false">
      <c r="A26" s="6" t="s">
        <v>131</v>
      </c>
      <c r="B26" s="8" t="n">
        <f aca="false">Hypothèses!B31</f>
        <v>700</v>
      </c>
      <c r="C26" s="8" t="n">
        <f aca="false">Hypothèses!B32</f>
        <v>1000</v>
      </c>
    </row>
    <row r="27" customFormat="false" ht="15" hidden="false" customHeight="true" outlineLevel="0" collapsed="false">
      <c r="A27" s="6" t="s">
        <v>132</v>
      </c>
      <c r="B27" s="25" t="n">
        <v>0</v>
      </c>
      <c r="C27" s="25" t="n">
        <v>0</v>
      </c>
    </row>
    <row r="28" customFormat="false" ht="15" hidden="false" customHeight="true" outlineLevel="0" collapsed="false">
      <c r="A28" s="22" t="s">
        <v>133</v>
      </c>
      <c r="B28" s="26" t="n">
        <f aca="false">B24+B25-B26-B27</f>
        <v>29221.96</v>
      </c>
      <c r="C28" s="26" t="n">
        <f aca="false">C24+C25-C26-C27</f>
        <v>66736.96</v>
      </c>
    </row>
    <row r="30" customFormat="false" ht="15" hidden="false" customHeight="true" outlineLevel="0" collapsed="false">
      <c r="A30" s="13" t="s">
        <v>134</v>
      </c>
    </row>
  </sheetData>
  <printOptions headings="false" gridLines="false" gridLinesSet="true" horizontalCentered="false" verticalCentered="false"/>
  <pageMargins left="0.75" right="0.75" top="1" bottom="1" header="0.511811023622047" footer="0.511811023622047"/>
  <pageSetup paperSize="1" scale="100" fitToWidth="1" fitToHeight="0" pageOrder="downThenOver" orientation="landscape" blackAndWhite="false" draft="false" cellComments="none" horizontalDpi="300" verticalDpi="300" copies="1"/>
  <headerFooter differentFirst="false" differentOddEven="false">
    <oddHeader/>
    <oddFooter/>
  </headerFooter>
</worksheet>
</file>

<file path=xl/worksheets/sheet6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true"/>
  </sheetPr>
  <dimension ref="A1:C20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8.6796875" defaultRowHeight="15" customHeight="false" zeroHeight="false" outlineLevelRow="0" outlineLevelCol="0"/>
  <cols>
    <col collapsed="false" customWidth="true" hidden="false" outlineLevel="0" max="1" min="1" style="1" width="52"/>
    <col collapsed="false" customWidth="true" hidden="false" outlineLevel="0" max="2" min="2" style="1" width="14"/>
  </cols>
  <sheetData>
    <row r="1" customFormat="false" ht="19.5" hidden="false" customHeight="true" outlineLevel="0" collapsed="false">
      <c r="A1" s="14" t="s">
        <v>135</v>
      </c>
    </row>
    <row r="2" customFormat="false" ht="15" hidden="false" customHeight="true" outlineLevel="0" collapsed="false">
      <c r="A2" s="4" t="s">
        <v>136</v>
      </c>
    </row>
    <row r="4" customFormat="false" ht="15" hidden="false" customHeight="true" outlineLevel="0" collapsed="false">
      <c r="A4" s="11" t="s">
        <v>137</v>
      </c>
    </row>
    <row r="5" customFormat="false" ht="15" hidden="false" customHeight="true" outlineLevel="0" collapsed="false">
      <c r="A5" s="6" t="s">
        <v>60</v>
      </c>
      <c r="B5" s="28" t="n">
        <f aca="false">Hypothèses!B22</f>
        <v>600</v>
      </c>
    </row>
    <row r="6" customFormat="false" ht="15" hidden="false" customHeight="true" outlineLevel="0" collapsed="false">
      <c r="A6" s="6" t="s">
        <v>138</v>
      </c>
      <c r="B6" s="28" t="n">
        <f aca="false">Hypothèses!B23</f>
        <v>150</v>
      </c>
    </row>
    <row r="7" customFormat="false" ht="15" hidden="false" customHeight="true" outlineLevel="0" collapsed="false">
      <c r="A7" s="6" t="s">
        <v>139</v>
      </c>
      <c r="B7" s="28" t="n">
        <f aca="false">Hypothèses!B24</f>
        <v>100</v>
      </c>
    </row>
    <row r="8" customFormat="false" ht="15" hidden="false" customHeight="true" outlineLevel="0" collapsed="false">
      <c r="A8" s="6" t="s">
        <v>64</v>
      </c>
      <c r="B8" s="28" t="n">
        <f aca="false">Hypothèses!B25</f>
        <v>150</v>
      </c>
    </row>
    <row r="9" customFormat="false" ht="15" hidden="false" customHeight="true" outlineLevel="0" collapsed="false">
      <c r="A9" s="6" t="s">
        <v>140</v>
      </c>
      <c r="B9" s="21" t="n">
        <v>0</v>
      </c>
      <c r="C9" s="13" t="s">
        <v>141</v>
      </c>
    </row>
    <row r="10" customFormat="false" ht="15" hidden="false" customHeight="true" outlineLevel="0" collapsed="false">
      <c r="A10" s="22" t="s">
        <v>142</v>
      </c>
      <c r="B10" s="24" t="n">
        <f aca="false">SUM(B5:B9)</f>
        <v>1000</v>
      </c>
    </row>
    <row r="12" customFormat="false" ht="15" hidden="false" customHeight="true" outlineLevel="0" collapsed="false">
      <c r="A12" s="11" t="s">
        <v>143</v>
      </c>
    </row>
    <row r="13" customFormat="false" ht="15" hidden="false" customHeight="true" outlineLevel="0" collapsed="false">
      <c r="A13" s="6" t="s">
        <v>66</v>
      </c>
      <c r="B13" s="28" t="n">
        <f aca="false">Hypothèses!B27</f>
        <v>1000</v>
      </c>
    </row>
    <row r="14" customFormat="false" ht="15" hidden="false" customHeight="true" outlineLevel="0" collapsed="false">
      <c r="A14" s="6" t="s">
        <v>144</v>
      </c>
      <c r="B14" s="21" t="n">
        <v>0</v>
      </c>
    </row>
    <row r="15" customFormat="false" ht="15" hidden="false" customHeight="true" outlineLevel="0" collapsed="false">
      <c r="A15" s="6" t="s">
        <v>145</v>
      </c>
      <c r="B15" s="21" t="n">
        <v>0</v>
      </c>
      <c r="C15" s="13" t="s">
        <v>146</v>
      </c>
    </row>
    <row r="16" customFormat="false" ht="15" hidden="false" customHeight="true" outlineLevel="0" collapsed="false">
      <c r="A16" s="22" t="s">
        <v>147</v>
      </c>
      <c r="B16" s="24" t="n">
        <f aca="false">SUM(B13:B15)</f>
        <v>1000</v>
      </c>
    </row>
    <row r="18" customFormat="false" ht="15" hidden="false" customHeight="true" outlineLevel="0" collapsed="false">
      <c r="A18" s="5" t="s">
        <v>148</v>
      </c>
      <c r="B18" s="21" t="n">
        <f aca="false">B16-B10</f>
        <v>0</v>
      </c>
    </row>
    <row r="20" customFormat="false" ht="15" hidden="false" customHeight="true" outlineLevel="0" collapsed="false">
      <c r="A20" s="13" t="s">
        <v>149</v>
      </c>
    </row>
  </sheetData>
  <printOptions headings="false" gridLines="false" gridLinesSet="true" horizontalCentered="false" verticalCentered="false"/>
  <pageMargins left="0.75" right="0.75" top="1" bottom="1" header="0.511811023622047" footer="0.511811023622047"/>
  <pageSetup paperSize="1" scale="100" fitToWidth="1" fitToHeight="0" pageOrder="downThenOver" orientation="landscape" blackAndWhite="false" draft="false" cellComments="none" horizontalDpi="300" verticalDpi="300" copies="1"/>
  <headerFooter differentFirst="false" differentOddEven="false">
    <oddHeader/>
    <oddFooter/>
  </headerFooter>
</worksheet>
</file>

<file path=xl/worksheets/sheet7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true"/>
  </sheetPr>
  <dimension ref="A1:G9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8.6796875" defaultRowHeight="15" customHeight="false" zeroHeight="false" outlineLevelRow="0" outlineLevelCol="0"/>
  <cols>
    <col collapsed="false" customWidth="true" hidden="false" outlineLevel="0" max="1" min="1" style="1" width="16"/>
    <col collapsed="false" customWidth="true" hidden="false" outlineLevel="0" max="4" min="2" style="1" width="13"/>
    <col collapsed="false" customWidth="true" hidden="false" outlineLevel="0" max="7" min="5" style="1" width="15"/>
  </cols>
  <sheetData>
    <row r="1" customFormat="false" ht="19.5" hidden="false" customHeight="true" outlineLevel="0" collapsed="false">
      <c r="A1" s="14" t="s">
        <v>150</v>
      </c>
    </row>
    <row r="2" customFormat="false" ht="15" hidden="false" customHeight="true" outlineLevel="0" collapsed="false">
      <c r="A2" s="4" t="s">
        <v>151</v>
      </c>
    </row>
    <row r="3" customFormat="false" ht="23.25" hidden="false" customHeight="true" outlineLevel="0" collapsed="false">
      <c r="A3" s="7" t="s">
        <v>152</v>
      </c>
      <c r="B3" s="7" t="s">
        <v>153</v>
      </c>
      <c r="C3" s="7" t="s">
        <v>154</v>
      </c>
      <c r="D3" s="7" t="s">
        <v>155</v>
      </c>
      <c r="E3" s="7" t="s">
        <v>156</v>
      </c>
      <c r="F3" s="7" t="s">
        <v>157</v>
      </c>
      <c r="G3" s="7" t="s">
        <v>158</v>
      </c>
    </row>
    <row r="4" customFormat="false" ht="15" hidden="false" customHeight="true" outlineLevel="0" collapsed="false">
      <c r="A4" s="6" t="s">
        <v>159</v>
      </c>
      <c r="B4" s="15" t="n">
        <v>15000</v>
      </c>
      <c r="C4" s="15" t="n">
        <v>35000</v>
      </c>
      <c r="D4" s="15" t="n">
        <v>60000</v>
      </c>
      <c r="E4" s="21" t="n">
        <f aca="false">B4*('CR 3 ans'!$B$13/'CR 3 ans'!$B$4)</f>
        <v>6030</v>
      </c>
      <c r="F4" s="21" t="n">
        <f aca="false">C4*('CR 3 ans'!$C$13/'CR 3 ans'!$C$4)</f>
        <v>13417.7272727273</v>
      </c>
      <c r="G4" s="21" t="n">
        <f aca="false">D4*('CR 3 ans'!$D$13/'CR 3 ans'!$D$4)</f>
        <v>24325.2631578947</v>
      </c>
    </row>
    <row r="5" customFormat="false" ht="15" hidden="false" customHeight="true" outlineLevel="0" collapsed="false">
      <c r="A5" s="30" t="s">
        <v>160</v>
      </c>
      <c r="B5" s="31" t="n">
        <f aca="false">'CR 3 ans'!B4</f>
        <v>22480</v>
      </c>
      <c r="C5" s="31" t="n">
        <f aca="false">'CR 3 ans'!C4</f>
        <v>55000</v>
      </c>
      <c r="D5" s="31" t="n">
        <f aca="false">'CR 3 ans'!D4</f>
        <v>95000</v>
      </c>
      <c r="E5" s="31" t="n">
        <f aca="false">'CR 3 ans'!B13</f>
        <v>9036.96</v>
      </c>
      <c r="F5" s="31" t="n">
        <f aca="false">'CR 3 ans'!C13</f>
        <v>21085</v>
      </c>
      <c r="G5" s="31" t="n">
        <f aca="false">'CR 3 ans'!D13</f>
        <v>38515</v>
      </c>
    </row>
    <row r="6" customFormat="false" ht="15" hidden="false" customHeight="true" outlineLevel="0" collapsed="false">
      <c r="A6" s="6" t="s">
        <v>161</v>
      </c>
      <c r="B6" s="15" t="n">
        <v>30000</v>
      </c>
      <c r="C6" s="15" t="n">
        <v>80000</v>
      </c>
      <c r="D6" s="15" t="n">
        <v>150000</v>
      </c>
      <c r="E6" s="21" t="n">
        <f aca="false">B6*('CR 3 ans'!$B$13/'CR 3 ans'!$B$4)</f>
        <v>12060</v>
      </c>
      <c r="F6" s="21" t="n">
        <f aca="false">C6*('CR 3 ans'!$C$13/'CR 3 ans'!$C$4)</f>
        <v>30669.0909090909</v>
      </c>
      <c r="G6" s="21" t="n">
        <f aca="false">D6*('CR 3 ans'!$D$13/'CR 3 ans'!$D$4)</f>
        <v>60813.1578947369</v>
      </c>
    </row>
    <row r="8" customFormat="false" ht="15" hidden="false" customHeight="true" outlineLevel="0" collapsed="false">
      <c r="A8" s="13" t="s">
        <v>162</v>
      </c>
    </row>
    <row r="9" customFormat="false" ht="15" hidden="false" customHeight="true" outlineLevel="0" collapsed="false">
      <c r="A9" s="13" t="s">
        <v>163</v>
      </c>
    </row>
  </sheetData>
  <printOptions headings="false" gridLines="false" gridLinesSet="true" horizontalCentered="false" verticalCentered="false"/>
  <pageMargins left="0.75" right="0.75" top="1" bottom="1" header="0.511811023622047" footer="0.511811023622047"/>
  <pageSetup paperSize="1" scale="100" fitToWidth="1" fitToHeight="0" pageOrder="downThenOver" orientation="landscape" blackAndWhite="false" draft="false" cellComments="none" horizontalDpi="300" verticalDpi="300" copies="1"/>
  <headerFooter differentFirst="false" differentOddEven="false">
    <oddHeader/>
    <oddFooter/>
  </headerFooter>
</worksheet>
</file>

<file path=xl/worksheets/sheet8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H64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8.6796875" defaultRowHeight="15" customHeight="false" zeroHeight="false" outlineLevelRow="0" outlineLevelCol="0"/>
  <cols>
    <col collapsed="false" customWidth="true" hidden="false" outlineLevel="0" max="1" min="1" style="0" width="42"/>
    <col collapsed="false" customWidth="true" hidden="false" outlineLevel="0" max="4" min="2" style="0" width="24"/>
    <col collapsed="false" customWidth="true" hidden="false" outlineLevel="0" max="5" min="5" style="0" width="16"/>
    <col collapsed="false" customWidth="true" hidden="false" outlineLevel="0" max="6" min="6" style="0" width="17"/>
    <col collapsed="false" customWidth="true" hidden="false" outlineLevel="0" max="7" min="7" style="0" width="14"/>
    <col collapsed="false" customWidth="true" hidden="false" outlineLevel="0" max="8" min="8" style="0" width="17"/>
  </cols>
  <sheetData>
    <row r="1" customFormat="false" ht="19.7" hidden="false" customHeight="false" outlineLevel="0" collapsed="false">
      <c r="A1" s="32" t="s">
        <v>164</v>
      </c>
    </row>
    <row r="2" customFormat="false" ht="15" hidden="false" customHeight="false" outlineLevel="0" collapsed="false">
      <c r="A2" s="33" t="s">
        <v>165</v>
      </c>
    </row>
    <row r="4" customFormat="false" ht="15" hidden="false" customHeight="false" outlineLevel="0" collapsed="false">
      <c r="A4" s="34" t="s">
        <v>166</v>
      </c>
    </row>
    <row r="5" customFormat="false" ht="15" hidden="false" customHeight="false" outlineLevel="0" collapsed="false">
      <c r="A5" s="12" t="s">
        <v>167</v>
      </c>
      <c r="B5" s="35" t="n">
        <v>0.55</v>
      </c>
      <c r="C5" s="36" t="s">
        <v>168</v>
      </c>
    </row>
    <row r="6" customFormat="false" ht="15" hidden="false" customHeight="false" outlineLevel="0" collapsed="false">
      <c r="A6" s="12" t="s">
        <v>169</v>
      </c>
      <c r="B6" s="37" t="n">
        <v>6</v>
      </c>
      <c r="C6" s="36" t="s">
        <v>170</v>
      </c>
    </row>
    <row r="7" customFormat="false" ht="15" hidden="false" customHeight="false" outlineLevel="0" collapsed="false">
      <c r="A7" s="12" t="s">
        <v>171</v>
      </c>
      <c r="B7" s="37" t="n">
        <v>250</v>
      </c>
      <c r="C7" s="36" t="s">
        <v>172</v>
      </c>
    </row>
    <row r="8" customFormat="false" ht="15" hidden="false" customHeight="false" outlineLevel="0" collapsed="false">
      <c r="A8" s="12" t="s">
        <v>173</v>
      </c>
      <c r="B8" s="38" t="n">
        <v>0.5</v>
      </c>
      <c r="C8" s="36" t="s">
        <v>174</v>
      </c>
    </row>
    <row r="9" customFormat="false" ht="15" hidden="false" customHeight="false" outlineLevel="0" collapsed="false">
      <c r="A9" s="12" t="s">
        <v>175</v>
      </c>
      <c r="B9" s="38" t="n">
        <v>0.25</v>
      </c>
      <c r="C9" s="36" t="s">
        <v>176</v>
      </c>
    </row>
    <row r="10" customFormat="false" ht="15" hidden="false" customHeight="false" outlineLevel="0" collapsed="false">
      <c r="A10" s="12" t="s">
        <v>177</v>
      </c>
      <c r="B10" s="37" t="n">
        <v>1300</v>
      </c>
      <c r="C10" s="36" t="s">
        <v>178</v>
      </c>
    </row>
    <row r="11" customFormat="false" ht="15" hidden="false" customHeight="false" outlineLevel="0" collapsed="false">
      <c r="A11" s="12" t="s">
        <v>73</v>
      </c>
      <c r="B11" s="37" t="n">
        <v>1000</v>
      </c>
      <c r="C11" s="36" t="s">
        <v>179</v>
      </c>
    </row>
    <row r="13" customFormat="false" ht="15" hidden="false" customHeight="false" outlineLevel="0" collapsed="false">
      <c r="A13" s="34" t="s">
        <v>180</v>
      </c>
    </row>
    <row r="14" customFormat="false" ht="23.85" hidden="false" customHeight="false" outlineLevel="0" collapsed="false">
      <c r="A14" s="39" t="s">
        <v>79</v>
      </c>
      <c r="B14" s="39" t="s">
        <v>80</v>
      </c>
      <c r="C14" s="39" t="s">
        <v>19</v>
      </c>
      <c r="D14" s="39" t="s">
        <v>181</v>
      </c>
      <c r="E14" s="39" t="s">
        <v>182</v>
      </c>
      <c r="F14" s="39" t="s">
        <v>83</v>
      </c>
      <c r="G14" s="39" t="s">
        <v>121</v>
      </c>
      <c r="H14" s="39" t="s">
        <v>122</v>
      </c>
    </row>
    <row r="15" customFormat="false" ht="15" hidden="false" customHeight="false" outlineLevel="0" collapsed="false">
      <c r="A15" s="12" t="s">
        <v>85</v>
      </c>
      <c r="B15" s="40" t="n">
        <f aca="false">'CR mensuel A1'!B4</f>
        <v>10</v>
      </c>
      <c r="C15" s="25" t="n">
        <f aca="false">B15*Hypothèses!$B$4</f>
        <v>400</v>
      </c>
      <c r="D15" s="25" t="n">
        <f aca="false">C15*$B$5</f>
        <v>220</v>
      </c>
      <c r="E15" s="25" t="n">
        <f aca="false">B15*$B$6</f>
        <v>60</v>
      </c>
      <c r="F15" s="25" t="n">
        <f aca="false">C15*Hypothèses!$B$8</f>
        <v>49.2</v>
      </c>
      <c r="G15" s="25" t="n">
        <f aca="false">Hypothèses!$B$27-$B$7+C15-D15-E15-F15</f>
        <v>820.8</v>
      </c>
      <c r="H15" s="41" t="n">
        <f aca="false">G15</f>
        <v>820.8</v>
      </c>
    </row>
    <row r="16" customFormat="false" ht="15" hidden="false" customHeight="false" outlineLevel="0" collapsed="false">
      <c r="A16" s="12" t="s">
        <v>86</v>
      </c>
      <c r="B16" s="40" t="n">
        <f aca="false">'CR mensuel A1'!B5</f>
        <v>15</v>
      </c>
      <c r="C16" s="25" t="n">
        <f aca="false">B16*Hypothèses!$B$4</f>
        <v>600</v>
      </c>
      <c r="D16" s="25" t="n">
        <f aca="false">C16*$B$5</f>
        <v>330</v>
      </c>
      <c r="E16" s="25" t="n">
        <f aca="false">B16*$B$6</f>
        <v>90</v>
      </c>
      <c r="F16" s="25" t="n">
        <f aca="false">C16*Hypothèses!$B$8</f>
        <v>73.8</v>
      </c>
      <c r="G16" s="25" t="n">
        <f aca="false">C16-D16-E16-F16</f>
        <v>106.2</v>
      </c>
      <c r="H16" s="41" t="n">
        <f aca="false">H15+G16</f>
        <v>927</v>
      </c>
    </row>
    <row r="17" customFormat="false" ht="15" hidden="false" customHeight="false" outlineLevel="0" collapsed="false">
      <c r="A17" s="12" t="s">
        <v>87</v>
      </c>
      <c r="B17" s="40" t="n">
        <f aca="false">'CR mensuel A1'!B6</f>
        <v>20</v>
      </c>
      <c r="C17" s="25" t="n">
        <f aca="false">B17*Hypothèses!$B$4</f>
        <v>800</v>
      </c>
      <c r="D17" s="25" t="n">
        <f aca="false">C17*$B$5</f>
        <v>440</v>
      </c>
      <c r="E17" s="25" t="n">
        <f aca="false">B17*$B$6</f>
        <v>120</v>
      </c>
      <c r="F17" s="25" t="n">
        <f aca="false">C17*Hypothèses!$B$8</f>
        <v>98.4</v>
      </c>
      <c r="G17" s="25" t="n">
        <f aca="false">C17-D17-E17-F17</f>
        <v>141.6</v>
      </c>
      <c r="H17" s="41" t="n">
        <f aca="false">H16+G17</f>
        <v>1068.6</v>
      </c>
    </row>
    <row r="18" customFormat="false" ht="15" hidden="false" customHeight="false" outlineLevel="0" collapsed="false">
      <c r="A18" s="12" t="s">
        <v>88</v>
      </c>
      <c r="B18" s="40" t="n">
        <f aca="false">'CR mensuel A1'!B7</f>
        <v>30</v>
      </c>
      <c r="C18" s="25" t="n">
        <f aca="false">B18*Hypothèses!$B$4</f>
        <v>1200</v>
      </c>
      <c r="D18" s="25" t="n">
        <f aca="false">C18*$B$5</f>
        <v>660</v>
      </c>
      <c r="E18" s="25" t="n">
        <f aca="false">B18*$B$6</f>
        <v>180</v>
      </c>
      <c r="F18" s="25" t="n">
        <f aca="false">C18*Hypothèses!$B$8</f>
        <v>147.6</v>
      </c>
      <c r="G18" s="25" t="n">
        <f aca="false">C18-D18-E18-F18</f>
        <v>212.4</v>
      </c>
      <c r="H18" s="41" t="n">
        <f aca="false">H17+G18</f>
        <v>1281</v>
      </c>
    </row>
    <row r="19" customFormat="false" ht="15" hidden="false" customHeight="false" outlineLevel="0" collapsed="false">
      <c r="A19" s="12" t="s">
        <v>89</v>
      </c>
      <c r="B19" s="40" t="n">
        <f aca="false">'CR mensuel A1'!B8</f>
        <v>40</v>
      </c>
      <c r="C19" s="25" t="n">
        <f aca="false">B19*Hypothèses!$B$4</f>
        <v>1600</v>
      </c>
      <c r="D19" s="25" t="n">
        <f aca="false">C19*$B$5</f>
        <v>880</v>
      </c>
      <c r="E19" s="25" t="n">
        <f aca="false">B19*$B$6</f>
        <v>240</v>
      </c>
      <c r="F19" s="25" t="n">
        <f aca="false">C19*Hypothèses!$B$8</f>
        <v>196.8</v>
      </c>
      <c r="G19" s="25" t="n">
        <f aca="false">C19-D19-E19-F19</f>
        <v>283.2</v>
      </c>
      <c r="H19" s="41" t="n">
        <f aca="false">H18+G19</f>
        <v>1564.2</v>
      </c>
    </row>
    <row r="20" customFormat="false" ht="15" hidden="false" customHeight="false" outlineLevel="0" collapsed="false">
      <c r="A20" s="12" t="s">
        <v>90</v>
      </c>
      <c r="B20" s="40" t="n">
        <f aca="false">'CR mensuel A1'!B9</f>
        <v>50</v>
      </c>
      <c r="C20" s="25" t="n">
        <f aca="false">B20*Hypothèses!$B$4</f>
        <v>2000</v>
      </c>
      <c r="D20" s="25" t="n">
        <f aca="false">C20*$B$5</f>
        <v>1100</v>
      </c>
      <c r="E20" s="25" t="n">
        <f aca="false">B20*$B$6</f>
        <v>300</v>
      </c>
      <c r="F20" s="25" t="n">
        <f aca="false">C20*Hypothèses!$B$8</f>
        <v>246</v>
      </c>
      <c r="G20" s="25" t="n">
        <f aca="false">C20-D20-E20-F20</f>
        <v>354</v>
      </c>
      <c r="H20" s="41" t="n">
        <f aca="false">H19+G20</f>
        <v>1918.2</v>
      </c>
    </row>
    <row r="21" customFormat="false" ht="15" hidden="false" customHeight="false" outlineLevel="0" collapsed="false">
      <c r="A21" s="12" t="s">
        <v>91</v>
      </c>
      <c r="B21" s="40" t="n">
        <f aca="false">'CR mensuel A1'!B10</f>
        <v>55</v>
      </c>
      <c r="C21" s="25" t="n">
        <f aca="false">B21*Hypothèses!$B$4</f>
        <v>2200</v>
      </c>
      <c r="D21" s="25" t="n">
        <f aca="false">C21*$B$5</f>
        <v>1210</v>
      </c>
      <c r="E21" s="25" t="n">
        <f aca="false">B21*$B$6</f>
        <v>330</v>
      </c>
      <c r="F21" s="25" t="n">
        <f aca="false">C21*Hypothèses!$B$8</f>
        <v>270.6</v>
      </c>
      <c r="G21" s="25" t="n">
        <f aca="false">C21-D21-E21-F21</f>
        <v>389.4</v>
      </c>
      <c r="H21" s="41" t="n">
        <f aca="false">H20+G21</f>
        <v>2307.6</v>
      </c>
    </row>
    <row r="22" customFormat="false" ht="15" hidden="false" customHeight="false" outlineLevel="0" collapsed="false">
      <c r="A22" s="12" t="s">
        <v>92</v>
      </c>
      <c r="B22" s="40" t="n">
        <f aca="false">'CR mensuel A1'!B11</f>
        <v>60</v>
      </c>
      <c r="C22" s="25" t="n">
        <f aca="false">B22*Hypothèses!$B$4</f>
        <v>2400</v>
      </c>
      <c r="D22" s="25" t="n">
        <f aca="false">C22*$B$5</f>
        <v>1320</v>
      </c>
      <c r="E22" s="25" t="n">
        <f aca="false">B22*$B$6</f>
        <v>360</v>
      </c>
      <c r="F22" s="25" t="n">
        <f aca="false">C22*Hypothèses!$B$8</f>
        <v>295.2</v>
      </c>
      <c r="G22" s="25" t="n">
        <f aca="false">C22-D22-E22-F22</f>
        <v>424.8</v>
      </c>
      <c r="H22" s="41" t="n">
        <f aca="false">H21+G22</f>
        <v>2732.4</v>
      </c>
    </row>
    <row r="23" customFormat="false" ht="15" hidden="false" customHeight="false" outlineLevel="0" collapsed="false">
      <c r="A23" s="12" t="s">
        <v>93</v>
      </c>
      <c r="B23" s="40" t="n">
        <f aca="false">'CR mensuel A1'!B12</f>
        <v>65</v>
      </c>
      <c r="C23" s="25" t="n">
        <f aca="false">B23*Hypothèses!$B$4</f>
        <v>2600</v>
      </c>
      <c r="D23" s="25" t="n">
        <f aca="false">C23*$B$5</f>
        <v>1430</v>
      </c>
      <c r="E23" s="25" t="n">
        <f aca="false">B23*$B$6</f>
        <v>390</v>
      </c>
      <c r="F23" s="25" t="n">
        <f aca="false">C23*Hypothèses!$B$8</f>
        <v>319.8</v>
      </c>
      <c r="G23" s="25" t="n">
        <f aca="false">C23-D23-E23-F23</f>
        <v>460.2</v>
      </c>
      <c r="H23" s="41" t="n">
        <f aca="false">H22+G23</f>
        <v>3192.6</v>
      </c>
    </row>
    <row r="24" customFormat="false" ht="15" hidden="false" customHeight="false" outlineLevel="0" collapsed="false">
      <c r="A24" s="12" t="s">
        <v>94</v>
      </c>
      <c r="B24" s="40" t="n">
        <f aca="false">'CR mensuel A1'!B13</f>
        <v>70</v>
      </c>
      <c r="C24" s="25" t="n">
        <f aca="false">B24*Hypothèses!$B$4</f>
        <v>2800</v>
      </c>
      <c r="D24" s="25" t="n">
        <f aca="false">C24*$B$5</f>
        <v>1540</v>
      </c>
      <c r="E24" s="25" t="n">
        <f aca="false">B24*$B$6</f>
        <v>420</v>
      </c>
      <c r="F24" s="25" t="n">
        <f aca="false">C24*Hypothèses!$B$8</f>
        <v>344.4</v>
      </c>
      <c r="G24" s="25" t="n">
        <f aca="false">C24-D24-E24-F24</f>
        <v>495.6</v>
      </c>
      <c r="H24" s="41" t="n">
        <f aca="false">H23+G24</f>
        <v>3688.2</v>
      </c>
    </row>
    <row r="25" customFormat="false" ht="15" hidden="false" customHeight="false" outlineLevel="0" collapsed="false">
      <c r="A25" s="12" t="s">
        <v>95</v>
      </c>
      <c r="B25" s="40" t="n">
        <f aca="false">'CR mensuel A1'!B14</f>
        <v>72</v>
      </c>
      <c r="C25" s="25" t="n">
        <f aca="false">B25*Hypothèses!$B$4</f>
        <v>2880</v>
      </c>
      <c r="D25" s="25" t="n">
        <f aca="false">C25*$B$5</f>
        <v>1584</v>
      </c>
      <c r="E25" s="25" t="n">
        <f aca="false">B25*$B$6</f>
        <v>432</v>
      </c>
      <c r="F25" s="25" t="n">
        <f aca="false">C25*Hypothèses!$B$8</f>
        <v>354.24</v>
      </c>
      <c r="G25" s="25" t="n">
        <f aca="false">C25-D25-E25-F25</f>
        <v>509.76</v>
      </c>
      <c r="H25" s="41" t="n">
        <f aca="false">H24+G25</f>
        <v>4197.96</v>
      </c>
    </row>
    <row r="26" customFormat="false" ht="15" hidden="false" customHeight="false" outlineLevel="0" collapsed="false">
      <c r="A26" s="12" t="s">
        <v>96</v>
      </c>
      <c r="B26" s="40" t="n">
        <f aca="false">'CR mensuel A1'!B15</f>
        <v>75</v>
      </c>
      <c r="C26" s="25" t="n">
        <f aca="false">B26*Hypothèses!$B$4</f>
        <v>3000</v>
      </c>
      <c r="D26" s="25" t="n">
        <f aca="false">C26*$B$5</f>
        <v>1650</v>
      </c>
      <c r="E26" s="25" t="n">
        <f aca="false">B26*$B$6</f>
        <v>450</v>
      </c>
      <c r="F26" s="25" t="n">
        <f aca="false">C26*Hypothèses!$B$8</f>
        <v>369</v>
      </c>
      <c r="G26" s="25" t="n">
        <f aca="false">C26-D26-E26-F26</f>
        <v>531</v>
      </c>
      <c r="H26" s="41" t="n">
        <f aca="false">H25+G26</f>
        <v>4728.96</v>
      </c>
    </row>
    <row r="27" customFormat="false" ht="15" hidden="false" customHeight="false" outlineLevel="0" collapsed="false">
      <c r="A27" s="42" t="s">
        <v>97</v>
      </c>
      <c r="B27" s="43" t="n">
        <f aca="false">SUM(B15:B26)</f>
        <v>562</v>
      </c>
      <c r="C27" s="9" t="n">
        <f aca="false">SUM(C15:C26)</f>
        <v>22480</v>
      </c>
      <c r="D27" s="9" t="n">
        <f aca="false">SUM(D15:D26)</f>
        <v>12364</v>
      </c>
      <c r="E27" s="9" t="n">
        <f aca="false">SUM(E15:E26)</f>
        <v>3372</v>
      </c>
      <c r="F27" s="9" t="n">
        <f aca="false">SUM(F15:F26)</f>
        <v>2765.04</v>
      </c>
      <c r="G27" s="9" t="n">
        <f aca="false">SUM(G15:G26)</f>
        <v>4728.96</v>
      </c>
      <c r="H27" s="9" t="n">
        <f aca="false">H26</f>
        <v>4728.96</v>
      </c>
    </row>
    <row r="28" customFormat="false" ht="15" hidden="false" customHeight="false" outlineLevel="0" collapsed="false">
      <c r="A28" s="44" t="s">
        <v>183</v>
      </c>
      <c r="B28" s="25" t="n">
        <f aca="false">MIN(H15:H26)</f>
        <v>820.8</v>
      </c>
      <c r="C28" s="36" t="s">
        <v>184</v>
      </c>
    </row>
    <row r="30" customFormat="false" ht="15" hidden="false" customHeight="false" outlineLevel="0" collapsed="false">
      <c r="A30" s="34" t="s">
        <v>185</v>
      </c>
    </row>
    <row r="31" customFormat="false" ht="23.85" hidden="false" customHeight="false" outlineLevel="0" collapsed="false">
      <c r="A31" s="39" t="s">
        <v>102</v>
      </c>
      <c r="B31" s="39" t="s">
        <v>103</v>
      </c>
      <c r="C31" s="39" t="s">
        <v>104</v>
      </c>
      <c r="D31" s="39" t="s">
        <v>105</v>
      </c>
    </row>
    <row r="32" customFormat="false" ht="15" hidden="false" customHeight="false" outlineLevel="0" collapsed="false">
      <c r="A32" s="12" t="s">
        <v>19</v>
      </c>
      <c r="B32" s="25" t="n">
        <f aca="false">C27</f>
        <v>22480</v>
      </c>
      <c r="C32" s="8" t="n">
        <f aca="false">Hypothèses!B11</f>
        <v>55000</v>
      </c>
      <c r="D32" s="8" t="n">
        <f aca="false">Hypothèses!B12</f>
        <v>95000</v>
      </c>
    </row>
    <row r="33" customFormat="false" ht="15" hidden="false" customHeight="false" outlineLevel="0" collapsed="false">
      <c r="A33" s="12" t="s">
        <v>186</v>
      </c>
      <c r="B33" s="45" t="n">
        <v>1</v>
      </c>
      <c r="C33" s="45" t="n">
        <f aca="false">$B$8</f>
        <v>0.5</v>
      </c>
      <c r="D33" s="45" t="n">
        <f aca="false">$B$9</f>
        <v>0.25</v>
      </c>
    </row>
    <row r="34" customFormat="false" ht="15" hidden="false" customHeight="false" outlineLevel="0" collapsed="false">
      <c r="A34" s="12" t="s">
        <v>187</v>
      </c>
      <c r="B34" s="25" t="n">
        <f aca="false">B32*$B$5</f>
        <v>12364</v>
      </c>
      <c r="C34" s="25" t="n">
        <f aca="false">C32*($B$8*$B$5+(1-$B$8)*Hypothèses!$B$6)</f>
        <v>22825</v>
      </c>
      <c r="D34" s="25" t="n">
        <f aca="false">D32*($B$9*$B$5+(1-$B$9)*Hypothèses!$B$7)</f>
        <v>30875</v>
      </c>
    </row>
    <row r="35" customFormat="false" ht="15" hidden="false" customHeight="false" outlineLevel="0" collapsed="false">
      <c r="A35" s="42" t="s">
        <v>20</v>
      </c>
      <c r="B35" s="9" t="n">
        <f aca="false">B32-B34</f>
        <v>10116</v>
      </c>
      <c r="C35" s="9" t="n">
        <f aca="false">C32-C34</f>
        <v>32175</v>
      </c>
      <c r="D35" s="9" t="n">
        <f aca="false">D32-D34</f>
        <v>64125</v>
      </c>
    </row>
    <row r="36" customFormat="false" ht="15" hidden="false" customHeight="false" outlineLevel="0" collapsed="false">
      <c r="A36" s="12" t="s">
        <v>107</v>
      </c>
      <c r="B36" s="27" t="n">
        <f aca="false">B35/B32</f>
        <v>0.45</v>
      </c>
      <c r="C36" s="27" t="n">
        <f aca="false">C35/C32</f>
        <v>0.585</v>
      </c>
      <c r="D36" s="27" t="n">
        <f aca="false">D35/D32</f>
        <v>0.675</v>
      </c>
    </row>
    <row r="37" customFormat="false" ht="15" hidden="false" customHeight="false" outlineLevel="0" collapsed="false">
      <c r="A37" s="12" t="s">
        <v>188</v>
      </c>
      <c r="B37" s="25" t="n">
        <f aca="false">E27</f>
        <v>3372</v>
      </c>
      <c r="C37" s="8" t="n">
        <f aca="false">Hypothèses!B13</f>
        <v>8250</v>
      </c>
      <c r="D37" s="8" t="n">
        <f aca="false">Hypothèses!B14</f>
        <v>13300</v>
      </c>
    </row>
    <row r="38" customFormat="false" ht="15" hidden="false" customHeight="false" outlineLevel="0" collapsed="false">
      <c r="A38" s="12" t="s">
        <v>109</v>
      </c>
      <c r="B38" s="25" t="n">
        <v>0</v>
      </c>
      <c r="C38" s="8" t="n">
        <f aca="false">Hypothèses!B15</f>
        <v>3000</v>
      </c>
      <c r="D38" s="8" t="n">
        <f aca="false">Hypothèses!B16</f>
        <v>6000</v>
      </c>
    </row>
    <row r="39" customFormat="false" ht="15" hidden="false" customHeight="false" outlineLevel="0" collapsed="false">
      <c r="A39" s="12" t="s">
        <v>110</v>
      </c>
      <c r="B39" s="25" t="n">
        <f aca="false">B32*Hypothèses!$B$8</f>
        <v>2765.04</v>
      </c>
      <c r="C39" s="25" t="n">
        <f aca="false">C32*Hypothèses!$B$8</f>
        <v>6765</v>
      </c>
      <c r="D39" s="25" t="n">
        <f aca="false">D32*Hypothèses!$B$8</f>
        <v>11685</v>
      </c>
    </row>
    <row r="40" customFormat="false" ht="15" hidden="false" customHeight="false" outlineLevel="0" collapsed="false">
      <c r="A40" s="12" t="s">
        <v>111</v>
      </c>
      <c r="B40" s="25" t="n">
        <v>0</v>
      </c>
      <c r="C40" s="8" t="n">
        <f aca="false">Hypothèses!B17</f>
        <v>500</v>
      </c>
      <c r="D40" s="8" t="n">
        <f aca="false">Hypothèses!B18</f>
        <v>1000</v>
      </c>
    </row>
    <row r="41" customFormat="false" ht="15" hidden="false" customHeight="false" outlineLevel="0" collapsed="false">
      <c r="A41" s="12" t="s">
        <v>112</v>
      </c>
      <c r="B41" s="25" t="n">
        <v>0</v>
      </c>
      <c r="C41" s="25" t="n">
        <v>0</v>
      </c>
      <c r="D41" s="8" t="n">
        <f aca="false">Hypothèses!B19</f>
        <v>750</v>
      </c>
    </row>
    <row r="42" customFormat="false" ht="15" hidden="false" customHeight="false" outlineLevel="0" collapsed="false">
      <c r="A42" s="42" t="s">
        <v>113</v>
      </c>
      <c r="B42" s="9" t="n">
        <f aca="false">B35-B37-B38-B39-B40-B41</f>
        <v>3978.96</v>
      </c>
      <c r="C42" s="9" t="n">
        <f aca="false">C35-C37-C38-C39-C40-C41</f>
        <v>13660</v>
      </c>
      <c r="D42" s="9" t="n">
        <f aca="false">D35-D37-D38-D39-D40-D41</f>
        <v>31390</v>
      </c>
    </row>
    <row r="43" customFormat="false" ht="15" hidden="false" customHeight="false" outlineLevel="0" collapsed="false">
      <c r="A43" s="12" t="s">
        <v>22</v>
      </c>
      <c r="B43" s="27" t="n">
        <f aca="false">B42/B32</f>
        <v>0.177</v>
      </c>
      <c r="C43" s="27" t="n">
        <f aca="false">C42/C32</f>
        <v>0.248363636363636</v>
      </c>
      <c r="D43" s="27" t="n">
        <f aca="false">D42/D32</f>
        <v>0.330421052631579</v>
      </c>
    </row>
    <row r="45" customFormat="false" ht="15" hidden="false" customHeight="false" outlineLevel="0" collapsed="false">
      <c r="A45" s="34" t="s">
        <v>189</v>
      </c>
    </row>
    <row r="46" customFormat="false" ht="15" hidden="false" customHeight="false" outlineLevel="0" collapsed="false">
      <c r="A46" s="39"/>
      <c r="B46" s="39" t="s">
        <v>190</v>
      </c>
      <c r="C46" s="39" t="s">
        <v>127</v>
      </c>
      <c r="D46" s="39" t="s">
        <v>128</v>
      </c>
    </row>
    <row r="47" customFormat="false" ht="15" hidden="false" customHeight="false" outlineLevel="0" collapsed="false">
      <c r="A47" s="44" t="s">
        <v>133</v>
      </c>
      <c r="B47" s="46" t="n">
        <f aca="false">H26</f>
        <v>4728.96</v>
      </c>
      <c r="C47" s="46" t="n">
        <f aca="false">B47+C42-$B$10</f>
        <v>17088.96</v>
      </c>
      <c r="D47" s="46" t="n">
        <f aca="false">C47+D42-$B$11</f>
        <v>47478.96</v>
      </c>
    </row>
    <row r="48" customFormat="false" ht="15" hidden="false" customHeight="false" outlineLevel="0" collapsed="false">
      <c r="A48" s="36" t="s">
        <v>191</v>
      </c>
    </row>
    <row r="50" customFormat="false" ht="15" hidden="false" customHeight="false" outlineLevel="0" collapsed="false">
      <c r="A50" s="34" t="s">
        <v>192</v>
      </c>
    </row>
    <row r="51" customFormat="false" ht="23.85" hidden="false" customHeight="false" outlineLevel="0" collapsed="false">
      <c r="A51" s="39" t="s">
        <v>15</v>
      </c>
      <c r="B51" s="39" t="s">
        <v>193</v>
      </c>
      <c r="C51" s="39" t="s">
        <v>194</v>
      </c>
      <c r="D51" s="39" t="s">
        <v>195</v>
      </c>
    </row>
    <row r="52" customFormat="false" ht="15" hidden="false" customHeight="false" outlineLevel="0" collapsed="false">
      <c r="A52" s="12" t="s">
        <v>120</v>
      </c>
      <c r="B52" s="8" t="n">
        <f aca="false">Hypothèses!B26</f>
        <v>1000</v>
      </c>
      <c r="C52" s="25" t="n">
        <f aca="false">$B$7</f>
        <v>250</v>
      </c>
      <c r="D52" s="25" t="n">
        <f aca="false">C52-B52</f>
        <v>-750</v>
      </c>
    </row>
    <row r="53" customFormat="false" ht="15" hidden="false" customHeight="false" outlineLevel="0" collapsed="false">
      <c r="A53" s="12" t="s">
        <v>196</v>
      </c>
      <c r="B53" s="8" t="n">
        <f aca="false">Trésorerie!B18</f>
        <v>160.8</v>
      </c>
      <c r="C53" s="25" t="n">
        <f aca="false">$B$28</f>
        <v>820.8</v>
      </c>
      <c r="D53" s="25" t="n">
        <f aca="false">C53-B53</f>
        <v>660</v>
      </c>
    </row>
    <row r="54" customFormat="false" ht="15" hidden="false" customHeight="false" outlineLevel="0" collapsed="false">
      <c r="A54" s="12" t="s">
        <v>197</v>
      </c>
      <c r="B54" s="8" t="n">
        <f aca="false">'CR 3 ans'!B13</f>
        <v>9036.96</v>
      </c>
      <c r="C54" s="25" t="n">
        <f aca="false">B42</f>
        <v>3978.96</v>
      </c>
      <c r="D54" s="25" t="n">
        <f aca="false">C54-B54</f>
        <v>-5058</v>
      </c>
    </row>
    <row r="55" customFormat="false" ht="15" hidden="false" customHeight="false" outlineLevel="0" collapsed="false">
      <c r="A55" s="12" t="s">
        <v>198</v>
      </c>
      <c r="B55" s="8" t="n">
        <f aca="false">'CR 3 ans'!D13</f>
        <v>38515</v>
      </c>
      <c r="C55" s="25" t="n">
        <f aca="false">D42</f>
        <v>31390</v>
      </c>
      <c r="D55" s="25" t="n">
        <f aca="false">C55-B55</f>
        <v>-7125</v>
      </c>
    </row>
    <row r="56" customFormat="false" ht="15" hidden="false" customHeight="false" outlineLevel="0" collapsed="false">
      <c r="A56" s="12" t="s">
        <v>199</v>
      </c>
      <c r="B56" s="8" t="n">
        <f aca="false">Trésorerie!C28</f>
        <v>66736.96</v>
      </c>
      <c r="C56" s="25" t="n">
        <f aca="false">D47</f>
        <v>47478.96</v>
      </c>
      <c r="D56" s="25" t="n">
        <f aca="false">C56-B56</f>
        <v>-19258</v>
      </c>
    </row>
    <row r="58" customFormat="false" ht="15" hidden="false" customHeight="true" outlineLevel="0" collapsed="false">
      <c r="A58" s="47" t="s">
        <v>200</v>
      </c>
      <c r="B58" s="47"/>
      <c r="C58" s="47"/>
      <c r="D58" s="47"/>
    </row>
    <row r="59" customFormat="false" ht="15" hidden="false" customHeight="false" outlineLevel="0" collapsed="false">
      <c r="A59" s="47"/>
      <c r="B59" s="47"/>
      <c r="C59" s="47"/>
      <c r="D59" s="47"/>
    </row>
    <row r="61" customFormat="false" ht="15" hidden="false" customHeight="false" outlineLevel="0" collapsed="false">
      <c r="A61" s="34" t="s">
        <v>201</v>
      </c>
    </row>
    <row r="62" customFormat="false" ht="15" hidden="false" customHeight="false" outlineLevel="0" collapsed="false">
      <c r="A62" s="12" t="s">
        <v>202</v>
      </c>
    </row>
    <row r="63" customFormat="false" ht="15" hidden="false" customHeight="false" outlineLevel="0" collapsed="false">
      <c r="A63" s="12" t="s">
        <v>203</v>
      </c>
    </row>
    <row r="64" customFormat="false" ht="15" hidden="false" customHeight="false" outlineLevel="0" collapsed="false">
      <c r="A64" s="36" t="s">
        <v>204</v>
      </c>
    </row>
  </sheetData>
  <mergeCells count="1">
    <mergeCell ref="A58:D59"/>
  </mergeCells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Template/>
  <TotalTime>0</TotalTime>
  <Application>LibreOffice/26.2.2.2$Linux_X86_64 LibreOffice_project/620$Build-2</Application>
  <AppVersion>15.0000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terms:created xsi:type="dcterms:W3CDTF">2026-06-11T11:12:30Z</dcterms:created>
  <dc:creator>openpyxl</dc:creator>
  <dc:description/>
  <dc:language>en-US</dc:language>
  <cp:lastModifiedBy/>
  <dcterms:modified xsi:type="dcterms:W3CDTF">2026-06-11T12:00:43Z</dcterms:modified>
  <cp:revision>0</cp:revision>
  <dc:subject/>
  <dc:title/>
</cp:coreProperties>
</file>

<file path=docProps/custom.xml><?xml version="1.0" encoding="utf-8"?>
<Properties xmlns="http://schemas.openxmlformats.org/officeDocument/2006/custom-properties" xmlns:vt="http://schemas.openxmlformats.org/officeDocument/2006/docPropsVTypes"/>
</file>