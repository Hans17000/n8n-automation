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bde7189f9cdc4a/Documents/"/>
    </mc:Choice>
  </mc:AlternateContent>
  <xr:revisionPtr revIDLastSave="0" documentId="8_{EE38F2A9-1898-4363-BC29-0BC738A8FB9F}" xr6:coauthVersionLast="47" xr6:coauthVersionMax="47" xr10:uidLastSave="{00000000-0000-0000-0000-000000000000}"/>
  <bookViews>
    <workbookView xWindow="-120" yWindow="-120" windowWidth="29040" windowHeight="15720" xr2:uid="{C061F86A-2FED-4F24-82B5-E065C09FFB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B20" i="1"/>
  <c r="E4" i="1"/>
  <c r="E3" i="1"/>
</calcChain>
</file>

<file path=xl/sharedStrings.xml><?xml version="1.0" encoding="utf-8"?>
<sst xmlns="http://schemas.openxmlformats.org/spreadsheetml/2006/main" count="23" uniqueCount="22">
  <si>
    <t>Charges</t>
  </si>
  <si>
    <t>PRLV MY MONEY BANK</t>
  </si>
  <si>
    <t>CRCAM</t>
  </si>
  <si>
    <t>CRCAM 2</t>
  </si>
  <si>
    <t>Cofidis</t>
  </si>
  <si>
    <t>Free</t>
  </si>
  <si>
    <t>Alpiq</t>
  </si>
  <si>
    <t>Total</t>
  </si>
  <si>
    <t>CRCAM 3</t>
  </si>
  <si>
    <t>Frais banque</t>
  </si>
  <si>
    <t xml:space="preserve">Floa </t>
  </si>
  <si>
    <t xml:space="preserve">Orange </t>
  </si>
  <si>
    <t>Darty</t>
  </si>
  <si>
    <t>CRCAM 4</t>
  </si>
  <si>
    <t xml:space="preserve">Assurance voiture </t>
  </si>
  <si>
    <t>Mutuel</t>
  </si>
  <si>
    <t xml:space="preserve">Total </t>
  </si>
  <si>
    <t>Entrée</t>
  </si>
  <si>
    <t>S&amp;P 500</t>
  </si>
  <si>
    <t>Nasdaq 100</t>
  </si>
  <si>
    <t>ARE (aide retour à l'emploi)</t>
  </si>
  <si>
    <t>BTC (Bitcoin)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</si>
</sst>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 applyAlignment="1">
      <alignment horizontal="right" vertical="center"/>
    </xf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1CC5-1F00-4EE8-9CC2-A161FCA76601}">
  <dimension ref="A1:E20"/>
  <sheetViews>
    <sheetView tabSelected="1" workbookViewId="0">
      <selection activeCell="D5" sqref="D5"/>
    </sheetView>
  </sheetViews>
  <sheetFormatPr baseColWidth="10" defaultRowHeight="15" x14ac:dyDescent="0.25"/>
  <cols>
    <col min="1" max="1" width="20.5703125" bestFit="1" customWidth="1"/>
    <col min="2" max="2" width="11.42578125" style="1"/>
    <col min="4" max="4" width="25.140625" bestFit="1" customWidth="1"/>
    <col min="5" max="5" width="11.42578125" style="2"/>
  </cols>
  <sheetData>
    <row r="1" spans="1:5" x14ac:dyDescent="0.25">
      <c r="A1" t="s">
        <v>0</v>
      </c>
      <c r="D1" t="s">
        <v>17</v>
      </c>
    </row>
    <row r="3" spans="1:5" x14ac:dyDescent="0.25">
      <c r="A3" t="s">
        <v>1</v>
      </c>
      <c r="B3" s="1">
        <v>625.64</v>
      </c>
      <c r="D3" t="s">
        <v>20</v>
      </c>
      <c r="E3" s="2">
        <f>41.9*30</f>
        <v>1257</v>
      </c>
    </row>
    <row r="4" spans="1:5" x14ac:dyDescent="0.25">
      <c r="A4" t="s">
        <v>2</v>
      </c>
      <c r="B4" s="1">
        <v>17.16</v>
      </c>
      <c r="D4" t="s">
        <v>21</v>
      </c>
      <c r="E4" s="2">
        <f>39.12+16.8</f>
        <v>55.92</v>
      </c>
    </row>
    <row r="5" spans="1:5" x14ac:dyDescent="0.25">
      <c r="A5" t="s">
        <v>3</v>
      </c>
      <c r="B5" s="1">
        <v>13.37</v>
      </c>
      <c r="D5" t="s">
        <v>18</v>
      </c>
      <c r="E5" s="2">
        <v>557.96</v>
      </c>
    </row>
    <row r="6" spans="1:5" x14ac:dyDescent="0.25">
      <c r="A6" t="s">
        <v>4</v>
      </c>
      <c r="B6" s="1">
        <v>101.78</v>
      </c>
      <c r="D6" t="s">
        <v>19</v>
      </c>
      <c r="E6" s="2">
        <v>517.82000000000005</v>
      </c>
    </row>
    <row r="7" spans="1:5" x14ac:dyDescent="0.25">
      <c r="A7" t="s">
        <v>5</v>
      </c>
      <c r="B7" s="1">
        <v>49.99</v>
      </c>
    </row>
    <row r="8" spans="1:5" x14ac:dyDescent="0.25">
      <c r="A8" t="s">
        <v>6</v>
      </c>
      <c r="B8" s="1">
        <v>48</v>
      </c>
    </row>
    <row r="9" spans="1:5" x14ac:dyDescent="0.25">
      <c r="A9" t="s">
        <v>7</v>
      </c>
      <c r="B9" s="1">
        <v>22</v>
      </c>
    </row>
    <row r="10" spans="1:5" x14ac:dyDescent="0.25">
      <c r="A10" t="s">
        <v>4</v>
      </c>
      <c r="B10" s="1">
        <v>20.94</v>
      </c>
    </row>
    <row r="11" spans="1:5" x14ac:dyDescent="0.25">
      <c r="A11" t="s">
        <v>8</v>
      </c>
      <c r="B11" s="1">
        <v>9.84</v>
      </c>
    </row>
    <row r="12" spans="1:5" x14ac:dyDescent="0.25">
      <c r="A12" t="s">
        <v>9</v>
      </c>
      <c r="B12" s="1">
        <v>7.38</v>
      </c>
    </row>
    <row r="13" spans="1:5" x14ac:dyDescent="0.25">
      <c r="A13" t="s">
        <v>10</v>
      </c>
      <c r="B13" s="1">
        <v>118</v>
      </c>
    </row>
    <row r="14" spans="1:5" x14ac:dyDescent="0.25">
      <c r="A14" t="s">
        <v>11</v>
      </c>
      <c r="B14" s="1">
        <v>85.49</v>
      </c>
    </row>
    <row r="15" spans="1:5" x14ac:dyDescent="0.25">
      <c r="A15" t="s">
        <v>12</v>
      </c>
      <c r="B15" s="1">
        <v>11.99</v>
      </c>
    </row>
    <row r="16" spans="1:5" x14ac:dyDescent="0.25">
      <c r="A16" t="s">
        <v>13</v>
      </c>
      <c r="B16" s="1">
        <v>25.56</v>
      </c>
    </row>
    <row r="17" spans="1:5" x14ac:dyDescent="0.25">
      <c r="A17" t="s">
        <v>14</v>
      </c>
      <c r="B17" s="1">
        <v>77.819999999999993</v>
      </c>
    </row>
    <row r="18" spans="1:5" x14ac:dyDescent="0.25">
      <c r="A18" t="s">
        <v>15</v>
      </c>
      <c r="B18" s="1">
        <v>19.62</v>
      </c>
    </row>
    <row r="20" spans="1:5" x14ac:dyDescent="0.25">
      <c r="A20" t="s">
        <v>16</v>
      </c>
      <c r="B20" s="1">
        <f>SUM(B3:B18)+964</f>
        <v>2218.58</v>
      </c>
      <c r="E20" s="2">
        <f>SUM(E3:E6)</f>
        <v>2388.7000000000003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Hans Beuthner</dc:creator>
  <cp:lastModifiedBy>Omar Hans Beuthner</cp:lastModifiedBy>
  <dcterms:created xsi:type="dcterms:W3CDTF">2026-06-10T16:22:15Z</dcterms:created>
  <dcterms:modified xsi:type="dcterms:W3CDTF">2026-06-10T16:41:43Z</dcterms:modified>
</cp:coreProperties>
</file>